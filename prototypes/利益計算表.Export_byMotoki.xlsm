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727" codeName="{9351B8E1-9728-8E5E-8161-817DCB669FF3}"/>
  <workbookPr filterPrivacy="1" codeName="ThisWorkbook"/>
  <xr:revisionPtr revIDLastSave="0" documentId="13_ncr:1_{24CCC0BC-866E-44AC-B660-FEEB090064AC}" xr6:coauthVersionLast="43" xr6:coauthVersionMax="43" xr10:uidLastSave="{00000000-0000-0000-0000-000000000000}"/>
  <bookViews>
    <workbookView xWindow="-110" yWindow="350" windowWidth="22780" windowHeight="14800" activeTab="1" xr2:uid="{3B6DCAF2-2A59-41E9-9930-972F9A4F5A42}"/>
  </bookViews>
  <sheets>
    <sheet name="利益計算表(新)" sheetId="10" r:id="rId1"/>
    <sheet name="リストシート" sheetId="2" r:id="rId2"/>
    <sheet name="カテゴリー手数料一覧" sheetId="3" r:id="rId3"/>
    <sheet name="手数料" sheetId="4" r:id="rId4"/>
  </sheets>
  <functionGroups builtInGroupCount="19"/>
  <definedNames>
    <definedName name="kabuka?code_0950" localSheetId="0">'利益計算表(新)'!#REF!</definedName>
    <definedName name="kabuka?code_0950_1" localSheetId="0">'利益計算表(新)'!$H$4:$L$33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3" i="10" l="1"/>
  <c r="B19" i="2" l="1"/>
  <c r="G3" i="3" l="1"/>
  <c r="J3" i="3"/>
  <c r="I3" i="3"/>
  <c r="H3" i="3"/>
  <c r="I5" i="3" l="1"/>
  <c r="F30" i="10"/>
  <c r="F20" i="10" s="1"/>
  <c r="E30" i="10"/>
  <c r="E20" i="10" s="1"/>
  <c r="D30" i="10"/>
  <c r="D20" i="10" s="1"/>
  <c r="C30" i="10"/>
  <c r="C20" i="10" s="1"/>
  <c r="F29" i="10"/>
  <c r="E29" i="10"/>
  <c r="D29" i="10"/>
  <c r="C29" i="10"/>
  <c r="F28" i="10"/>
  <c r="E28" i="10"/>
  <c r="D28" i="10"/>
  <c r="C28" i="10"/>
  <c r="F27" i="10"/>
  <c r="E27" i="10"/>
  <c r="D27" i="10"/>
  <c r="C27" i="10"/>
  <c r="F26" i="10"/>
  <c r="E26" i="10"/>
  <c r="D26" i="10"/>
  <c r="C26" i="10"/>
  <c r="F25" i="10"/>
  <c r="E25" i="10"/>
  <c r="D25" i="10"/>
  <c r="C25" i="10"/>
  <c r="F24" i="10"/>
  <c r="E24" i="10"/>
  <c r="D24" i="10"/>
  <c r="C24" i="10"/>
  <c r="F23" i="10"/>
  <c r="E23" i="10"/>
  <c r="D23" i="10"/>
  <c r="C23" i="10"/>
  <c r="F7" i="10" l="1"/>
  <c r="F12" i="2" s="1"/>
  <c r="B12" i="2" l="1"/>
  <c r="C12" i="2"/>
  <c r="B5" i="2" l="1"/>
  <c r="G12" i="2" l="1"/>
  <c r="D12" i="2" s="1"/>
  <c r="C9" i="10" l="1"/>
  <c r="B9" i="10" s="1"/>
  <c r="C13" i="10" l="1"/>
  <c r="C19" i="10"/>
  <c r="D18" i="10"/>
  <c r="F19" i="10"/>
  <c r="D19" i="10"/>
  <c r="F18" i="10"/>
  <c r="D14" i="10"/>
  <c r="E15" i="10"/>
  <c r="E13" i="10"/>
  <c r="D16" i="10"/>
  <c r="F17" i="10"/>
  <c r="D17" i="10"/>
  <c r="F14" i="10"/>
  <c r="F15" i="10"/>
  <c r="D15" i="10"/>
  <c r="E18" i="10"/>
  <c r="C14" i="10"/>
  <c r="F16" i="10"/>
  <c r="F13" i="10"/>
  <c r="D13" i="10"/>
  <c r="B15" i="2" s="1"/>
  <c r="E16" i="10"/>
  <c r="E14" i="10"/>
  <c r="E19" i="10"/>
  <c r="C18" i="10"/>
  <c r="E17" i="10"/>
  <c r="C17" i="10"/>
  <c r="C16" i="10"/>
  <c r="C15" i="1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作成者</author>
  </authors>
  <commentList>
    <comment ref="E6" authorId="0" shapeId="0" xr:uid="{F6888FF0-51D3-4681-88DB-FCC6B1B0C8CA}">
      <text>
        <r>
          <rPr>
            <b/>
            <sz val="9"/>
            <color indexed="81"/>
            <rFont val="MS P ゴシック"/>
            <family val="3"/>
            <charset val="128"/>
          </rPr>
          <t>作成者:</t>
        </r>
        <r>
          <rPr>
            <sz val="9"/>
            <color indexed="81"/>
            <rFont val="MS P ゴシック"/>
            <family val="3"/>
            <charset val="128"/>
          </rPr>
          <t xml:space="preserve">
eBay掲載の商品のURLに、5桁の数字</t>
        </r>
      </text>
    </comment>
    <comment ref="G8" authorId="0" shapeId="0" xr:uid="{AB068584-970E-4C8D-9C0F-ECBC27C96296}">
      <text>
        <r>
          <rPr>
            <b/>
            <sz val="9"/>
            <color indexed="81"/>
            <rFont val="MS P ゴシック"/>
            <family val="3"/>
            <charset val="128"/>
          </rPr>
          <t>作成者:
上記のeBay手数料が感覚でわかるようになったらここに記入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20743700-75AF-431B-A618-904339D2FC6F}" name="接続1" type="4" refreshedVersion="6" background="1" saveData="1">
    <webPr sourceData="1" parsePre="1" consecutive="1" xl2000="1" url="https://kabutan.jp/stock/kabuka?code=0950" htmlTables="1">
      <tables count="1">
        <x v="6"/>
      </tables>
    </webPr>
  </connection>
</connections>
</file>

<file path=xl/sharedStrings.xml><?xml version="1.0" encoding="utf-8"?>
<sst xmlns="http://schemas.openxmlformats.org/spreadsheetml/2006/main" count="160" uniqueCount="104">
  <si>
    <t>日付</t>
    <rPh sb="0" eb="2">
      <t>ヒヅケ</t>
    </rPh>
    <phoneticPr fontId="16"/>
  </si>
  <si>
    <t>利益計算リスト</t>
    <rPh sb="0" eb="2">
      <t>リエキ</t>
    </rPh>
    <rPh sb="2" eb="4">
      <t>ケイサン</t>
    </rPh>
    <phoneticPr fontId="16"/>
  </si>
  <si>
    <t>eBay手数料</t>
    <phoneticPr fontId="16"/>
  </si>
  <si>
    <t>重量</t>
  </si>
  <si>
    <t>アジア</t>
  </si>
  <si>
    <t>北米</t>
  </si>
  <si>
    <t>欧州</t>
  </si>
  <si>
    <t>南米</t>
    <rPh sb="0" eb="2">
      <t>ナンベイ</t>
    </rPh>
    <phoneticPr fontId="16"/>
  </si>
  <si>
    <t>EMS</t>
  </si>
  <si>
    <t>EMS</t>
    <phoneticPr fontId="16"/>
  </si>
  <si>
    <t>eパケット</t>
  </si>
  <si>
    <t>eパケット</t>
    <phoneticPr fontId="16"/>
  </si>
  <si>
    <t>小形包装（SAL）</t>
  </si>
  <si>
    <t>国際小包（SAL）</t>
  </si>
  <si>
    <t>北米・欧州</t>
  </si>
  <si>
    <t>東アジア</t>
  </si>
  <si>
    <t>東南・西南
アジア</t>
  </si>
  <si>
    <t>ギフト券割引(%)</t>
    <rPh sb="3" eb="4">
      <t>ケン</t>
    </rPh>
    <rPh sb="4" eb="6">
      <t>ワリビキ</t>
    </rPh>
    <phoneticPr fontId="20"/>
  </si>
  <si>
    <t>仕入送料</t>
    <rPh sb="0" eb="4">
      <t>シイレソウリョウ</t>
    </rPh>
    <phoneticPr fontId="16"/>
  </si>
  <si>
    <t>通常利益（＄）</t>
    <rPh sb="0" eb="2">
      <t>ツウジョウ</t>
    </rPh>
    <rPh sb="2" eb="4">
      <t>リエキ</t>
    </rPh>
    <phoneticPr fontId="16"/>
  </si>
  <si>
    <t>TRS利益（＄）</t>
    <phoneticPr fontId="16"/>
  </si>
  <si>
    <t>eBay手数料</t>
    <rPh sb="4" eb="7">
      <t>テスウリョウ</t>
    </rPh>
    <phoneticPr fontId="16"/>
  </si>
  <si>
    <t>6.15%</t>
    <phoneticPr fontId="16"/>
  </si>
  <si>
    <t>7.15%</t>
    <phoneticPr fontId="16"/>
  </si>
  <si>
    <t>8.15%</t>
    <phoneticPr fontId="16"/>
  </si>
  <si>
    <t>4.00%</t>
    <phoneticPr fontId="16"/>
  </si>
  <si>
    <t>プラス10％</t>
    <phoneticPr fontId="16"/>
  </si>
  <si>
    <t>Bellow（＄）</t>
    <phoneticPr fontId="16"/>
  </si>
  <si>
    <t>Amazonギフト券</t>
    <phoneticPr fontId="16"/>
  </si>
  <si>
    <t>無効</t>
    <rPh sb="0" eb="2">
      <t>ムコウ</t>
    </rPh>
    <phoneticPr fontId="16"/>
  </si>
  <si>
    <t>有効</t>
    <rPh sb="0" eb="2">
      <t>ユウコウ</t>
    </rPh>
    <phoneticPr fontId="16"/>
  </si>
  <si>
    <t>国際eパケットライト</t>
    <phoneticPr fontId="16"/>
  </si>
  <si>
    <t>eパケットライト</t>
    <phoneticPr fontId="16"/>
  </si>
  <si>
    <t>為替レート</t>
    <rPh sb="0" eb="2">
      <t>カワs</t>
    </rPh>
    <phoneticPr fontId="16"/>
  </si>
  <si>
    <t>PayPal手数料</t>
    <rPh sb="0" eb="2">
      <t>テス</t>
    </rPh>
    <phoneticPr fontId="16"/>
  </si>
  <si>
    <t>為替手数料</t>
    <rPh sb="0" eb="2">
      <t>カワs</t>
    </rPh>
    <phoneticPr fontId="16"/>
  </si>
  <si>
    <t>発送代行手数料</t>
    <rPh sb="0" eb="2">
      <t>ハッソ</t>
    </rPh>
    <phoneticPr fontId="16"/>
  </si>
  <si>
    <t>別納切手割引</t>
    <rPh sb="0" eb="2">
      <t>ベt</t>
    </rPh>
    <phoneticPr fontId="16"/>
  </si>
  <si>
    <t>amazonギフト券</t>
    <phoneticPr fontId="16"/>
  </si>
  <si>
    <t>ポイント割引</t>
    <rPh sb="0" eb="1">
      <t>ワリ</t>
    </rPh>
    <phoneticPr fontId="16"/>
  </si>
  <si>
    <t>獲得ポイント</t>
    <rPh sb="0" eb="2">
      <t>カクトk</t>
    </rPh>
    <phoneticPr fontId="16"/>
  </si>
  <si>
    <t>EMS割引</t>
    <rPh sb="0" eb="2">
      <t>ワリビk</t>
    </rPh>
    <phoneticPr fontId="16"/>
  </si>
  <si>
    <t>SAL・eパケ割引</t>
    <rPh sb="0" eb="2">
      <t>ワリビk</t>
    </rPh>
    <phoneticPr fontId="16"/>
  </si>
  <si>
    <t>仕入額（円）</t>
    <rPh sb="0" eb="2">
      <t>シイr</t>
    </rPh>
    <phoneticPr fontId="16"/>
  </si>
  <si>
    <t>売値（ドル）</t>
    <rPh sb="0" eb="2">
      <t>ウr</t>
    </rPh>
    <phoneticPr fontId="16"/>
  </si>
  <si>
    <t>重量</t>
    <rPh sb="0" eb="2">
      <t>ジュウリョ</t>
    </rPh>
    <phoneticPr fontId="16"/>
  </si>
  <si>
    <t>カテゴリー</t>
    <phoneticPr fontId="16"/>
  </si>
  <si>
    <t>ebay手数料</t>
    <rPh sb="0" eb="2">
      <t>テス</t>
    </rPh>
    <phoneticPr fontId="16"/>
  </si>
  <si>
    <t>利益一覧</t>
    <rPh sb="0" eb="2">
      <t>リエk</t>
    </rPh>
    <phoneticPr fontId="16"/>
  </si>
  <si>
    <t>発送方法</t>
    <rPh sb="0" eb="2">
      <t>ハッソ</t>
    </rPh>
    <phoneticPr fontId="16"/>
  </si>
  <si>
    <t>アジア</t>
    <rPh sb="0" eb="1">
      <t>アj</t>
    </rPh>
    <phoneticPr fontId="16"/>
  </si>
  <si>
    <t>北米</t>
    <rPh sb="0" eb="2">
      <t>ホクベ</t>
    </rPh>
    <phoneticPr fontId="16"/>
  </si>
  <si>
    <t>南米</t>
    <rPh sb="0" eb="2">
      <t>ナンベ</t>
    </rPh>
    <phoneticPr fontId="16"/>
  </si>
  <si>
    <t>ヨーロッパ</t>
    <phoneticPr fontId="16"/>
  </si>
  <si>
    <t>国際小包SAL</t>
    <rPh sb="0" eb="2">
      <t>コクサ</t>
    </rPh>
    <phoneticPr fontId="16"/>
  </si>
  <si>
    <t>送料一覧</t>
    <rPh sb="0" eb="2">
      <t>ソウリョ</t>
    </rPh>
    <phoneticPr fontId="16"/>
  </si>
  <si>
    <t>小型包装物　SAL</t>
  </si>
  <si>
    <t>小型包装物　航空便</t>
  </si>
  <si>
    <t>アジア</t>
    <phoneticPr fontId="16"/>
  </si>
  <si>
    <t>北中米・豪
欧州・中東</t>
    <phoneticPr fontId="16"/>
  </si>
  <si>
    <t>南　 米
アフリカ</t>
    <phoneticPr fontId="16"/>
  </si>
  <si>
    <t>オリジナル（DHL…)</t>
  </si>
  <si>
    <t>通常利益（円）</t>
  </si>
  <si>
    <t>本日</t>
  </si>
  <si>
    <t>始値</t>
  </si>
  <si>
    <t>高値</t>
  </si>
  <si>
    <t>安値</t>
  </si>
  <si>
    <t>終値</t>
  </si>
  <si>
    <t>→</t>
    <phoneticPr fontId="16"/>
  </si>
  <si>
    <t>利益計算表(旧)'!D4</t>
    <phoneticPr fontId="16"/>
  </si>
  <si>
    <t>利益計算表(新)'!C7</t>
    <rPh sb="6" eb="7">
      <t>シン</t>
    </rPh>
    <phoneticPr fontId="16"/>
  </si>
  <si>
    <t>利益計算表(旧)'!H4</t>
  </si>
  <si>
    <t>利益計算表(新)'!B3</t>
    <rPh sb="6" eb="7">
      <t>シン</t>
    </rPh>
    <phoneticPr fontId="16"/>
  </si>
  <si>
    <t>利益計算表(旧)'!J17</t>
    <phoneticPr fontId="16"/>
  </si>
  <si>
    <t>利益計算表(新)'!C3</t>
    <rPh sb="6" eb="7">
      <t>シン</t>
    </rPh>
    <phoneticPr fontId="16"/>
  </si>
  <si>
    <t>通常利益($)</t>
    <rPh sb="0" eb="2">
      <t>ツウジョウ</t>
    </rPh>
    <rPh sb="2" eb="4">
      <t>リエキ</t>
    </rPh>
    <phoneticPr fontId="16"/>
  </si>
  <si>
    <t>'利益計算表(旧)'!$G$5</t>
  </si>
  <si>
    <t>'利益計算表(旧)'!$G$4</t>
  </si>
  <si>
    <t>利益計算表(旧)'!$F$4</t>
    <phoneticPr fontId="16"/>
  </si>
  <si>
    <t>利益計算表(新)'!$E$7</t>
    <rPh sb="6" eb="7">
      <t>シン</t>
    </rPh>
    <phoneticPr fontId="16"/>
  </si>
  <si>
    <t>利益計算表(新)'!$F$8</t>
    <rPh sb="6" eb="7">
      <t>シン</t>
    </rPh>
    <phoneticPr fontId="16"/>
  </si>
  <si>
    <t>利益計算表(新)'!$F$7</t>
    <rPh sb="6" eb="7">
      <t>シン</t>
    </rPh>
    <phoneticPr fontId="16"/>
  </si>
  <si>
    <t>利益計算表(旧)'!C4</t>
    <phoneticPr fontId="16"/>
  </si>
  <si>
    <t>利益計算表(新)'!B7</t>
    <rPh sb="6" eb="7">
      <t>シン</t>
    </rPh>
    <phoneticPr fontId="16"/>
  </si>
  <si>
    <t>'利益計算表(旧)'!E4</t>
  </si>
  <si>
    <t>利益計算表(旧)'!I7</t>
    <phoneticPr fontId="16"/>
  </si>
  <si>
    <t>利益計算表(旧)'!I10</t>
    <phoneticPr fontId="16"/>
  </si>
  <si>
    <t>利益計算表(新)'!D7</t>
    <rPh sb="6" eb="7">
      <t>シン</t>
    </rPh>
    <phoneticPr fontId="16"/>
  </si>
  <si>
    <t>利益計算表(新)'!D12</t>
    <rPh sb="6" eb="7">
      <t>シン</t>
    </rPh>
    <phoneticPr fontId="16"/>
  </si>
  <si>
    <t>利益計算表(新)'!D16</t>
    <rPh sb="6" eb="7">
      <t>シン</t>
    </rPh>
    <phoneticPr fontId="16"/>
  </si>
  <si>
    <t>'利益計算表(旧)'!K4</t>
  </si>
  <si>
    <t>利益計算表(旧)'!$H$17</t>
    <phoneticPr fontId="16"/>
  </si>
  <si>
    <t>利益計算表(新)'!B5</t>
    <rPh sb="6" eb="7">
      <t>シン</t>
    </rPh>
    <phoneticPr fontId="16"/>
  </si>
  <si>
    <t>利益計算表(新)'!D9</t>
    <rPh sb="6" eb="7">
      <t>シン</t>
    </rPh>
    <phoneticPr fontId="16"/>
  </si>
  <si>
    <t>無効</t>
  </si>
  <si>
    <t>利益率</t>
    <rPh sb="0" eb="2">
      <t>リエキ</t>
    </rPh>
    <rPh sb="2" eb="3">
      <t>リツ</t>
    </rPh>
    <phoneticPr fontId="16"/>
  </si>
  <si>
    <t>SAL書留</t>
    <phoneticPr fontId="16"/>
  </si>
  <si>
    <t>航空便</t>
    <phoneticPr fontId="16"/>
  </si>
  <si>
    <t>SAL</t>
    <phoneticPr fontId="16"/>
  </si>
  <si>
    <t>オリジナル</t>
    <phoneticPr fontId="16"/>
  </si>
  <si>
    <t>各種設定</t>
    <rPh sb="0" eb="2">
      <t>カクシュ</t>
    </rPh>
    <rPh sb="2" eb="4">
      <t>セッテイ</t>
    </rPh>
    <phoneticPr fontId="16"/>
  </si>
  <si>
    <t>前日比</t>
  </si>
  <si>
    <t>前日比％</t>
  </si>
  <si>
    <t>売買高(株)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</si>
</sst>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5" formatCode="&quot;¥&quot;#,##0;&quot;¥&quot;\-#,##0"/>
    <numFmt numFmtId="6" formatCode="&quot;¥&quot;#,##0;[Red]&quot;¥&quot;\-#,##0"/>
    <numFmt numFmtId="7" formatCode="&quot;¥&quot;#,##0.00;&quot;¥&quot;\-#,##0.00"/>
    <numFmt numFmtId="176" formatCode="\$#,##0.00;\-\$#,##0.00"/>
    <numFmt numFmtId="177" formatCode="#&quot;g&quot;"/>
    <numFmt numFmtId="178" formatCode="[$¥-411]#,##0;\-[$¥-411]#,##0"/>
    <numFmt numFmtId="179" formatCode="0.0%"/>
    <numFmt numFmtId="180" formatCode="0&quot;pt&quot;"/>
    <numFmt numFmtId="181" formatCode="[$¥-411]#,##0_);[Red]\([$¥-411]#,##0\)"/>
    <numFmt numFmtId="182" formatCode="General&quot;g&quot;"/>
  </numFmts>
  <fonts count="33">
    <font>
      <sz val="11"/>
      <color theme="1"/>
      <name val="Yu Gothic"/>
      <family val="2"/>
      <charset val="128"/>
      <scheme val="minor"/>
    </font>
    <font>
      <sz val="11"/>
      <color theme="1"/>
      <name val="Yu Gothic"/>
      <family val="2"/>
      <charset val="128"/>
      <scheme val="minor"/>
    </font>
    <font>
      <b/>
      <sz val="15"/>
      <color theme="3"/>
      <name val="Yu Gothic"/>
      <family val="2"/>
      <charset val="128"/>
      <scheme val="minor"/>
    </font>
    <font>
      <b/>
      <sz val="13"/>
      <color theme="3"/>
      <name val="Yu Gothic"/>
      <family val="2"/>
      <charset val="128"/>
      <scheme val="minor"/>
    </font>
    <font>
      <b/>
      <sz val="11"/>
      <color theme="3"/>
      <name val="Yu Gothic"/>
      <family val="2"/>
      <charset val="128"/>
      <scheme val="minor"/>
    </font>
    <font>
      <sz val="11"/>
      <color rgb="FF006100"/>
      <name val="Yu Gothic"/>
      <family val="2"/>
      <charset val="128"/>
      <scheme val="minor"/>
    </font>
    <font>
      <sz val="11"/>
      <color rgb="FF9C0006"/>
      <name val="Yu Gothic"/>
      <family val="2"/>
      <charset val="128"/>
      <scheme val="minor"/>
    </font>
    <font>
      <sz val="11"/>
      <color rgb="FF3F3F76"/>
      <name val="Yu Gothic"/>
      <family val="2"/>
      <charset val="128"/>
      <scheme val="minor"/>
    </font>
    <font>
      <b/>
      <sz val="11"/>
      <color rgb="FF3F3F3F"/>
      <name val="Yu Gothic"/>
      <family val="2"/>
      <charset val="128"/>
      <scheme val="minor"/>
    </font>
    <font>
      <b/>
      <sz val="11"/>
      <color rgb="FFFA7D00"/>
      <name val="Yu Gothic"/>
      <family val="2"/>
      <charset val="128"/>
      <scheme val="minor"/>
    </font>
    <font>
      <sz val="11"/>
      <color rgb="FFFA7D00"/>
      <name val="Yu Gothic"/>
      <family val="2"/>
      <charset val="128"/>
      <scheme val="minor"/>
    </font>
    <font>
      <b/>
      <sz val="11"/>
      <color theme="0"/>
      <name val="Yu Gothic"/>
      <family val="2"/>
      <charset val="128"/>
      <scheme val="minor"/>
    </font>
    <font>
      <sz val="11"/>
      <color rgb="FFFF0000"/>
      <name val="Yu Gothic"/>
      <family val="2"/>
      <charset val="128"/>
      <scheme val="minor"/>
    </font>
    <font>
      <i/>
      <sz val="11"/>
      <color rgb="FF7F7F7F"/>
      <name val="Yu Gothic"/>
      <family val="2"/>
      <charset val="128"/>
      <scheme val="minor"/>
    </font>
    <font>
      <b/>
      <sz val="11"/>
      <color theme="1"/>
      <name val="Yu Gothic"/>
      <family val="2"/>
      <charset val="128"/>
      <scheme val="minor"/>
    </font>
    <font>
      <sz val="11"/>
      <color theme="0"/>
      <name val="Yu Gothic"/>
      <family val="2"/>
      <charset val="128"/>
      <scheme val="minor"/>
    </font>
    <font>
      <sz val="6"/>
      <name val="Yu Gothic"/>
      <family val="2"/>
      <charset val="128"/>
      <scheme val="minor"/>
    </font>
    <font>
      <sz val="11"/>
      <color indexed="8"/>
      <name val="ＭＳ Ｐゴシック"/>
      <family val="3"/>
      <charset val="128"/>
    </font>
    <font>
      <u/>
      <sz val="11"/>
      <color indexed="12"/>
      <name val="ＭＳ Ｐゴシック"/>
      <family val="3"/>
      <charset val="128"/>
    </font>
    <font>
      <sz val="11"/>
      <color indexed="8"/>
      <name val="ＭＳ Ｐゴシック"/>
      <family val="3"/>
      <charset val="128"/>
    </font>
    <font>
      <sz val="6"/>
      <name val="ＭＳ Ｐゴシック"/>
      <family val="3"/>
      <charset val="128"/>
    </font>
    <font>
      <sz val="18"/>
      <color theme="3"/>
      <name val="Yu Gothic Light"/>
      <family val="2"/>
      <charset val="128"/>
      <scheme val="major"/>
    </font>
    <font>
      <sz val="11"/>
      <color rgb="FF9C5700"/>
      <name val="Yu Gothic"/>
      <family val="2"/>
      <charset val="128"/>
      <scheme val="minor"/>
    </font>
    <font>
      <sz val="11"/>
      <color theme="3"/>
      <name val="Yu Gothic"/>
      <family val="2"/>
      <charset val="128"/>
      <scheme val="minor"/>
    </font>
    <font>
      <b/>
      <sz val="11"/>
      <color theme="3"/>
      <name val="Yu Gothic"/>
      <family val="3"/>
      <charset val="128"/>
      <scheme val="minor"/>
    </font>
    <font>
      <sz val="11"/>
      <color theme="3"/>
      <name val="メイリオ"/>
      <family val="3"/>
      <charset val="128"/>
    </font>
    <font>
      <sz val="10"/>
      <color theme="3"/>
      <name val="メイリオ"/>
      <family val="3"/>
      <charset val="128"/>
    </font>
    <font>
      <sz val="12"/>
      <color theme="1"/>
      <name val="Yu Gothic"/>
      <family val="2"/>
      <charset val="128"/>
      <scheme val="minor"/>
    </font>
    <font>
      <sz val="9"/>
      <color theme="1"/>
      <name val="Yu Gothic"/>
      <family val="3"/>
      <charset val="128"/>
      <scheme val="minor"/>
    </font>
    <font>
      <b/>
      <sz val="9"/>
      <color theme="1"/>
      <name val="Yu Gothic"/>
      <family val="3"/>
      <charset val="128"/>
      <scheme val="minor"/>
    </font>
    <font>
      <u/>
      <sz val="9"/>
      <color indexed="12"/>
      <name val="Yu Gothic"/>
      <charset val="128"/>
      <scheme val="minor"/>
    </font>
    <font>
      <sz val="9"/>
      <color indexed="81"/>
      <name val="MS P ゴシック"/>
      <family val="3"/>
      <charset val="128"/>
    </font>
    <font>
      <b/>
      <sz val="9"/>
      <color indexed="81"/>
      <name val="MS P ゴシック"/>
      <family val="3"/>
      <charset val="128"/>
    </font>
  </fonts>
  <fills count="42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2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n">
        <color theme="3" tint="0.39997558519241921"/>
      </bottom>
      <diagonal/>
    </border>
    <border>
      <left/>
      <right/>
      <top style="thin">
        <color theme="3" tint="0.39997558519241921"/>
      </top>
      <bottom style="thin">
        <color theme="3" tint="0.39997558519241921"/>
      </bottom>
      <diagonal/>
    </border>
    <border>
      <left/>
      <right/>
      <top style="thin">
        <color theme="4"/>
      </top>
      <bottom style="thin">
        <color theme="3" tint="0.39997558519241921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1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theme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50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2" fillId="0" borderId="1" applyNumberFormat="0" applyFill="0" applyAlignment="0" applyProtection="0">
      <alignment vertical="center"/>
    </xf>
    <xf numFmtId="0" fontId="3" fillId="0" borderId="2" applyNumberFormat="0" applyFill="0" applyAlignment="0" applyProtection="0">
      <alignment vertical="center"/>
    </xf>
    <xf numFmtId="0" fontId="4" fillId="0" borderId="3" applyNumberFormat="0" applyFill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5" fillId="2" borderId="0" applyNumberFormat="0" applyBorder="0" applyAlignment="0" applyProtection="0">
      <alignment vertical="center"/>
    </xf>
    <xf numFmtId="0" fontId="6" fillId="3" borderId="0" applyNumberFormat="0" applyBorder="0" applyAlignment="0" applyProtection="0">
      <alignment vertical="center"/>
    </xf>
    <xf numFmtId="0" fontId="7" fillId="5" borderId="4" applyNumberFormat="0" applyAlignment="0" applyProtection="0">
      <alignment vertical="center"/>
    </xf>
    <xf numFmtId="0" fontId="8" fillId="6" borderId="5" applyNumberFormat="0" applyAlignment="0" applyProtection="0">
      <alignment vertical="center"/>
    </xf>
    <xf numFmtId="0" fontId="9" fillId="6" borderId="4" applyNumberFormat="0" applyAlignment="0" applyProtection="0">
      <alignment vertical="center"/>
    </xf>
    <xf numFmtId="0" fontId="10" fillId="0" borderId="6" applyNumberFormat="0" applyFill="0" applyAlignment="0" applyProtection="0">
      <alignment vertical="center"/>
    </xf>
    <xf numFmtId="0" fontId="11" fillId="7" borderId="7" applyNumberFormat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4" fillId="0" borderId="9" applyNumberFormat="0" applyFill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7" fillId="0" borderId="0">
      <alignment vertical="center"/>
    </xf>
    <xf numFmtId="0" fontId="18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2" fillId="4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27" fillId="0" borderId="0">
      <alignment vertical="center"/>
    </xf>
    <xf numFmtId="6" fontId="27" fillId="0" borderId="0" applyFont="0" applyFill="0" applyBorder="0" applyAlignment="0" applyProtection="0">
      <alignment vertical="center"/>
    </xf>
  </cellStyleXfs>
  <cellXfs count="96">
    <xf numFmtId="0" fontId="0" fillId="0" borderId="0" xfId="0">
      <alignment vertical="center"/>
    </xf>
    <xf numFmtId="0" fontId="23" fillId="0" borderId="0" xfId="0" applyFont="1">
      <alignment vertical="center"/>
    </xf>
    <xf numFmtId="0" fontId="23" fillId="0" borderId="10" xfId="0" applyFont="1" applyBorder="1">
      <alignment vertical="center"/>
    </xf>
    <xf numFmtId="0" fontId="23" fillId="0" borderId="0" xfId="0" applyFont="1" applyBorder="1">
      <alignment vertical="center"/>
    </xf>
    <xf numFmtId="0" fontId="23" fillId="33" borderId="0" xfId="0" applyFont="1" applyFill="1" applyAlignment="1">
      <alignment horizontal="right" vertical="center"/>
    </xf>
    <xf numFmtId="0" fontId="24" fillId="0" borderId="10" xfId="0" applyFont="1" applyBorder="1">
      <alignment vertical="center"/>
    </xf>
    <xf numFmtId="0" fontId="25" fillId="0" borderId="0" xfId="45" applyFont="1" applyBorder="1">
      <alignment vertical="center"/>
    </xf>
    <xf numFmtId="0" fontId="25" fillId="0" borderId="0" xfId="0" applyFont="1">
      <alignment vertical="center"/>
    </xf>
    <xf numFmtId="0" fontId="25" fillId="0" borderId="0" xfId="0" applyFont="1" applyBorder="1">
      <alignment vertical="center"/>
    </xf>
    <xf numFmtId="14" fontId="25" fillId="0" borderId="0" xfId="0" applyNumberFormat="1" applyFont="1">
      <alignment vertical="center"/>
    </xf>
    <xf numFmtId="7" fontId="25" fillId="0" borderId="0" xfId="0" applyNumberFormat="1" applyFont="1">
      <alignment vertical="center"/>
    </xf>
    <xf numFmtId="0" fontId="25" fillId="0" borderId="0" xfId="1" applyNumberFormat="1" applyFont="1">
      <alignment vertical="center"/>
    </xf>
    <xf numFmtId="0" fontId="25" fillId="0" borderId="0" xfId="16" applyFont="1" applyBorder="1" applyAlignment="1">
      <alignment horizontal="center" vertical="center"/>
    </xf>
    <xf numFmtId="0" fontId="26" fillId="0" borderId="0" xfId="45" applyFont="1" applyBorder="1" applyAlignment="1">
      <alignment horizontal="center" vertical="center"/>
    </xf>
    <xf numFmtId="0" fontId="25" fillId="0" borderId="0" xfId="16" applyFont="1" applyBorder="1" applyAlignment="1">
      <alignment horizontal="center" vertical="center" wrapText="1"/>
    </xf>
    <xf numFmtId="177" fontId="25" fillId="0" borderId="0" xfId="45" applyNumberFormat="1" applyFont="1" applyBorder="1">
      <alignment vertical="center"/>
    </xf>
    <xf numFmtId="178" fontId="25" fillId="0" borderId="0" xfId="45" applyNumberFormat="1" applyFont="1" applyFill="1" applyBorder="1">
      <alignment vertical="center"/>
    </xf>
    <xf numFmtId="178" fontId="25" fillId="0" borderId="0" xfId="45" applyNumberFormat="1" applyFont="1" applyFill="1">
      <alignment vertical="center"/>
    </xf>
    <xf numFmtId="177" fontId="25" fillId="0" borderId="0" xfId="45" applyNumberFormat="1" applyFont="1" applyFill="1">
      <alignment vertical="center"/>
    </xf>
    <xf numFmtId="3" fontId="25" fillId="0" borderId="0" xfId="0" applyNumberFormat="1" applyFont="1">
      <alignment vertical="center"/>
    </xf>
    <xf numFmtId="177" fontId="25" fillId="0" borderId="0" xfId="45" applyNumberFormat="1" applyFont="1" applyFill="1" applyBorder="1">
      <alignment vertical="center"/>
    </xf>
    <xf numFmtId="0" fontId="25" fillId="0" borderId="12" xfId="16" applyFont="1" applyFill="1" applyBorder="1" applyAlignment="1">
      <alignment horizontal="center" vertical="center"/>
    </xf>
    <xf numFmtId="10" fontId="23" fillId="0" borderId="0" xfId="0" applyNumberFormat="1" applyFont="1" applyBorder="1" applyAlignment="1">
      <alignment horizontal="right" vertical="center"/>
    </xf>
    <xf numFmtId="10" fontId="24" fillId="0" borderId="11" xfId="0" applyNumberFormat="1" applyFont="1" applyBorder="1">
      <alignment vertical="center"/>
    </xf>
    <xf numFmtId="10" fontId="24" fillId="0" borderId="10" xfId="1" applyNumberFormat="1" applyFont="1" applyBorder="1">
      <alignment vertical="center"/>
    </xf>
    <xf numFmtId="10" fontId="25" fillId="0" borderId="0" xfId="1" applyNumberFormat="1" applyFont="1">
      <alignment vertical="center"/>
    </xf>
    <xf numFmtId="10" fontId="25" fillId="0" borderId="0" xfId="0" applyNumberFormat="1" applyFont="1">
      <alignment vertical="center"/>
    </xf>
    <xf numFmtId="9" fontId="25" fillId="0" borderId="0" xfId="1" applyFont="1">
      <alignment vertical="center"/>
    </xf>
    <xf numFmtId="0" fontId="27" fillId="0" borderId="0" xfId="48">
      <alignment vertical="center"/>
    </xf>
    <xf numFmtId="0" fontId="25" fillId="0" borderId="12" xfId="16" applyFont="1" applyFill="1" applyBorder="1" applyAlignment="1">
      <alignment horizontal="center" vertical="center" wrapText="1"/>
    </xf>
    <xf numFmtId="0" fontId="27" fillId="0" borderId="0" xfId="48" applyFill="1">
      <alignment vertical="center"/>
    </xf>
    <xf numFmtId="0" fontId="27" fillId="0" borderId="0" xfId="48" applyFill="1" applyBorder="1">
      <alignment vertical="center"/>
    </xf>
    <xf numFmtId="0" fontId="27" fillId="0" borderId="0" xfId="48" applyAlignment="1">
      <alignment horizontal="center" vertical="center"/>
    </xf>
    <xf numFmtId="0" fontId="25" fillId="0" borderId="0" xfId="0" quotePrefix="1" applyFont="1">
      <alignment vertical="center"/>
    </xf>
    <xf numFmtId="0" fontId="23" fillId="0" borderId="0" xfId="0" quotePrefix="1" applyFont="1">
      <alignment vertical="center"/>
    </xf>
    <xf numFmtId="0" fontId="28" fillId="35" borderId="15" xfId="48" applyFont="1" applyFill="1" applyBorder="1" applyAlignment="1">
      <alignment horizontal="left" vertical="center"/>
    </xf>
    <xf numFmtId="0" fontId="28" fillId="37" borderId="15" xfId="48" applyFont="1" applyFill="1" applyBorder="1" applyAlignment="1">
      <alignment horizontal="left" vertical="center"/>
    </xf>
    <xf numFmtId="0" fontId="28" fillId="38" borderId="15" xfId="48" applyFont="1" applyFill="1" applyBorder="1" applyAlignment="1">
      <alignment horizontal="left" vertical="center"/>
    </xf>
    <xf numFmtId="0" fontId="28" fillId="0" borderId="15" xfId="48" applyFont="1" applyFill="1" applyBorder="1" applyAlignment="1">
      <alignment horizontal="left" vertical="center"/>
    </xf>
    <xf numFmtId="179" fontId="28" fillId="0" borderId="15" xfId="1" applyNumberFormat="1" applyFont="1" applyFill="1" applyBorder="1" applyAlignment="1">
      <alignment horizontal="left" vertical="center"/>
    </xf>
    <xf numFmtId="10" fontId="28" fillId="0" borderId="15" xfId="48" applyNumberFormat="1" applyFont="1" applyFill="1" applyBorder="1" applyAlignment="1">
      <alignment horizontal="left" vertical="center"/>
    </xf>
    <xf numFmtId="181" fontId="28" fillId="0" borderId="15" xfId="49" applyNumberFormat="1" applyFont="1" applyFill="1" applyBorder="1" applyAlignment="1">
      <alignment horizontal="left" vertical="center"/>
    </xf>
    <xf numFmtId="180" fontId="28" fillId="0" borderId="15" xfId="48" applyNumberFormat="1" applyFont="1" applyFill="1" applyBorder="1" applyAlignment="1">
      <alignment horizontal="left" vertical="center"/>
    </xf>
    <xf numFmtId="0" fontId="29" fillId="34" borderId="15" xfId="48" applyFont="1" applyFill="1" applyBorder="1" applyAlignment="1">
      <alignment horizontal="left" vertical="center"/>
    </xf>
    <xf numFmtId="0" fontId="28" fillId="34" borderId="15" xfId="48" applyFont="1" applyFill="1" applyBorder="1" applyAlignment="1">
      <alignment horizontal="left" vertical="center"/>
    </xf>
    <xf numFmtId="5" fontId="29" fillId="0" borderId="15" xfId="48" applyNumberFormat="1" applyFont="1" applyFill="1" applyBorder="1" applyAlignment="1">
      <alignment horizontal="left" vertical="center"/>
    </xf>
    <xf numFmtId="176" fontId="29" fillId="0" borderId="15" xfId="48" applyNumberFormat="1" applyFont="1" applyFill="1" applyBorder="1" applyAlignment="1">
      <alignment horizontal="left" vertical="center"/>
    </xf>
    <xf numFmtId="182" fontId="29" fillId="0" borderId="15" xfId="48" applyNumberFormat="1" applyFont="1" applyFill="1" applyBorder="1" applyAlignment="1">
      <alignment horizontal="left" vertical="center"/>
    </xf>
    <xf numFmtId="5" fontId="28" fillId="41" borderId="22" xfId="48" applyNumberFormat="1" applyFont="1" applyFill="1" applyBorder="1" applyAlignment="1">
      <alignment horizontal="left" vertical="center"/>
    </xf>
    <xf numFmtId="176" fontId="28" fillId="41" borderId="22" xfId="48" applyNumberFormat="1" applyFont="1" applyFill="1" applyBorder="1" applyAlignment="1">
      <alignment horizontal="left" vertical="center"/>
    </xf>
    <xf numFmtId="0" fontId="28" fillId="35" borderId="23" xfId="47" applyFont="1" applyFill="1" applyBorder="1" applyAlignment="1">
      <alignment horizontal="left" vertical="center"/>
    </xf>
    <xf numFmtId="10" fontId="28" fillId="40" borderId="21" xfId="48" applyNumberFormat="1" applyFont="1" applyFill="1" applyBorder="1" applyAlignment="1">
      <alignment horizontal="left" vertical="center"/>
    </xf>
    <xf numFmtId="5" fontId="28" fillId="0" borderId="15" xfId="48" applyNumberFormat="1" applyFont="1" applyFill="1" applyBorder="1" applyAlignment="1">
      <alignment horizontal="left" vertical="center"/>
    </xf>
    <xf numFmtId="176" fontId="28" fillId="0" borderId="15" xfId="48" applyNumberFormat="1" applyFont="1" applyFill="1" applyBorder="1" applyAlignment="1">
      <alignment horizontal="left" vertical="center"/>
    </xf>
    <xf numFmtId="9" fontId="28" fillId="0" borderId="20" xfId="46" applyNumberFormat="1" applyFont="1" applyBorder="1" applyAlignment="1">
      <alignment horizontal="left" vertical="center"/>
    </xf>
    <xf numFmtId="9" fontId="28" fillId="0" borderId="15" xfId="1" applyFont="1" applyFill="1" applyBorder="1" applyAlignment="1">
      <alignment horizontal="left" vertical="center"/>
    </xf>
    <xf numFmtId="0" fontId="28" fillId="0" borderId="13" xfId="48" applyFont="1" applyFill="1" applyBorder="1" applyAlignment="1">
      <alignment horizontal="left" vertical="center"/>
    </xf>
    <xf numFmtId="0" fontId="28" fillId="39" borderId="15" xfId="48" applyFont="1" applyFill="1" applyBorder="1" applyAlignment="1">
      <alignment horizontal="left" vertical="center"/>
    </xf>
    <xf numFmtId="5" fontId="28" fillId="0" borderId="14" xfId="0" applyNumberFormat="1" applyFont="1" applyBorder="1" applyAlignment="1">
      <alignment horizontal="left" vertical="center"/>
    </xf>
    <xf numFmtId="6" fontId="28" fillId="36" borderId="15" xfId="49" applyFont="1" applyFill="1" applyBorder="1" applyAlignment="1">
      <alignment horizontal="left" vertical="center"/>
    </xf>
    <xf numFmtId="5" fontId="28" fillId="0" borderId="14" xfId="0" applyNumberFormat="1" applyFont="1" applyFill="1" applyBorder="1" applyAlignment="1">
      <alignment horizontal="left" vertical="center"/>
    </xf>
    <xf numFmtId="0" fontId="28" fillId="0" borderId="15" xfId="48" applyFont="1" applyBorder="1" applyAlignment="1">
      <alignment horizontal="left" vertical="center"/>
    </xf>
    <xf numFmtId="6" fontId="28" fillId="0" borderId="15" xfId="49" applyFont="1" applyBorder="1" applyAlignment="1">
      <alignment horizontal="left" vertical="center"/>
    </xf>
    <xf numFmtId="181" fontId="28" fillId="0" borderId="24" xfId="49" applyNumberFormat="1" applyFont="1" applyFill="1" applyBorder="1" applyAlignment="1">
      <alignment horizontal="left" vertical="center"/>
    </xf>
    <xf numFmtId="0" fontId="28" fillId="37" borderId="25" xfId="48" applyFont="1" applyFill="1" applyBorder="1" applyAlignment="1">
      <alignment horizontal="left" vertical="center"/>
    </xf>
    <xf numFmtId="10" fontId="28" fillId="0" borderId="25" xfId="48" applyNumberFormat="1" applyFont="1" applyFill="1" applyBorder="1" applyAlignment="1">
      <alignment horizontal="left" vertical="center"/>
    </xf>
    <xf numFmtId="0" fontId="28" fillId="36" borderId="15" xfId="48" applyFont="1" applyFill="1" applyBorder="1" applyAlignment="1">
      <alignment horizontal="left" vertical="center"/>
    </xf>
    <xf numFmtId="0" fontId="28" fillId="0" borderId="0" xfId="48" applyFont="1">
      <alignment vertical="center"/>
    </xf>
    <xf numFmtId="0" fontId="28" fillId="0" borderId="0" xfId="48" applyFont="1" applyAlignment="1">
      <alignment horizontal="left" vertical="center"/>
    </xf>
    <xf numFmtId="0" fontId="28" fillId="0" borderId="0" xfId="48" applyFont="1" applyFill="1" applyBorder="1" applyAlignment="1">
      <alignment horizontal="left" vertical="center"/>
    </xf>
    <xf numFmtId="0" fontId="28" fillId="0" borderId="19" xfId="48" applyFont="1" applyBorder="1">
      <alignment vertical="center"/>
    </xf>
    <xf numFmtId="0" fontId="28" fillId="0" borderId="19" xfId="48" applyFont="1" applyBorder="1" applyAlignment="1">
      <alignment horizontal="left" vertical="center"/>
    </xf>
    <xf numFmtId="0" fontId="28" fillId="0" borderId="18" xfId="48" applyFont="1" applyBorder="1">
      <alignment vertical="center"/>
    </xf>
    <xf numFmtId="14" fontId="28" fillId="0" borderId="17" xfId="48" applyNumberFormat="1" applyFont="1" applyBorder="1" applyAlignment="1">
      <alignment horizontal="left" vertical="center"/>
    </xf>
    <xf numFmtId="0" fontId="28" fillId="0" borderId="18" xfId="48" applyFont="1" applyBorder="1" applyAlignment="1">
      <alignment horizontal="left" vertical="center"/>
    </xf>
    <xf numFmtId="0" fontId="28" fillId="0" borderId="0" xfId="48" applyFont="1" applyFill="1" applyBorder="1">
      <alignment vertical="center"/>
    </xf>
    <xf numFmtId="14" fontId="28" fillId="0" borderId="0" xfId="48" applyNumberFormat="1" applyFont="1" applyFill="1" applyBorder="1" applyAlignment="1">
      <alignment horizontal="left" vertical="center"/>
    </xf>
    <xf numFmtId="0" fontId="28" fillId="39" borderId="24" xfId="48" applyFont="1" applyFill="1" applyBorder="1" applyAlignment="1">
      <alignment horizontal="left" vertical="center"/>
    </xf>
    <xf numFmtId="6" fontId="28" fillId="36" borderId="24" xfId="49" applyFont="1" applyFill="1" applyBorder="1" applyAlignment="1">
      <alignment horizontal="left" vertical="center"/>
    </xf>
    <xf numFmtId="14" fontId="28" fillId="0" borderId="16" xfId="48" applyNumberFormat="1" applyFont="1" applyBorder="1" applyAlignment="1">
      <alignment horizontal="left" vertical="center"/>
    </xf>
    <xf numFmtId="0" fontId="30" fillId="0" borderId="0" xfId="36" applyFont="1" applyAlignment="1">
      <alignment horizontal="left" vertical="center"/>
    </xf>
    <xf numFmtId="0" fontId="28" fillId="40" borderId="19" xfId="48" applyFont="1" applyFill="1" applyBorder="1">
      <alignment vertical="center"/>
    </xf>
    <xf numFmtId="0" fontId="28" fillId="40" borderId="0" xfId="48" applyFont="1" applyFill="1" applyBorder="1">
      <alignment vertical="center"/>
    </xf>
    <xf numFmtId="0" fontId="28" fillId="40" borderId="18" xfId="48" applyFont="1" applyFill="1" applyBorder="1">
      <alignment vertical="center"/>
    </xf>
    <xf numFmtId="179" fontId="28" fillId="0" borderId="0" xfId="1" applyNumberFormat="1" applyFont="1" applyFill="1" applyBorder="1" applyAlignment="1">
      <alignment horizontal="left" vertical="center"/>
    </xf>
    <xf numFmtId="181" fontId="28" fillId="0" borderId="0" xfId="49" applyNumberFormat="1" applyFont="1" applyFill="1" applyBorder="1" applyAlignment="1">
      <alignment horizontal="left" vertical="center"/>
    </xf>
    <xf numFmtId="10" fontId="28" fillId="0" borderId="0" xfId="48" applyNumberFormat="1" applyFont="1" applyFill="1" applyBorder="1" applyAlignment="1">
      <alignment horizontal="left" vertical="center"/>
    </xf>
    <xf numFmtId="5" fontId="28" fillId="0" borderId="0" xfId="48" applyNumberFormat="1" applyFont="1" applyFill="1" applyBorder="1" applyAlignment="1">
      <alignment horizontal="center" vertical="center"/>
    </xf>
    <xf numFmtId="0" fontId="28" fillId="0" borderId="0" xfId="48" applyFont="1" applyFill="1" applyBorder="1" applyAlignment="1">
      <alignment horizontal="center" vertical="center"/>
    </xf>
    <xf numFmtId="6" fontId="28" fillId="0" borderId="0" xfId="49" applyFont="1" applyFill="1" applyBorder="1" applyAlignment="1">
      <alignment horizontal="left" vertical="center"/>
    </xf>
    <xf numFmtId="0" fontId="28" fillId="0" borderId="0" xfId="48" applyFont="1" applyFill="1" applyAlignment="1">
      <alignment horizontal="left" vertical="center"/>
    </xf>
    <xf numFmtId="0" fontId="28" fillId="0" borderId="13" xfId="48" applyFont="1" applyBorder="1" applyAlignment="1">
      <alignment horizontal="center" vertical="center"/>
    </xf>
    <xf numFmtId="5" fontId="28" fillId="0" borderId="24" xfId="48" applyNumberFormat="1" applyFont="1" applyFill="1" applyBorder="1" applyAlignment="1">
      <alignment horizontal="center" vertical="center"/>
    </xf>
    <xf numFmtId="5" fontId="28" fillId="0" borderId="25" xfId="48" applyNumberFormat="1" applyFont="1" applyFill="1" applyBorder="1" applyAlignment="1">
      <alignment horizontal="center" vertical="center"/>
    </xf>
    <xf numFmtId="5" fontId="28" fillId="0" borderId="21" xfId="48" applyNumberFormat="1" applyFont="1" applyFill="1" applyBorder="1" applyAlignment="1">
      <alignment horizontal="center" vertical="center"/>
    </xf>
    <xf numFmtId="0" fontId="28" fillId="0" borderId="15" xfId="48" applyFont="1" applyBorder="1" applyAlignment="1">
      <alignment horizontal="center" vertical="center"/>
    </xf>
  </cellXfs>
  <cellStyles count="50">
    <cellStyle name="20% - アクセント 1" xfId="18" builtinId="30" customBuiltin="1"/>
    <cellStyle name="20% - アクセント 2" xfId="21" builtinId="34" customBuiltin="1"/>
    <cellStyle name="20% - アクセント 3" xfId="24" builtinId="38" customBuiltin="1"/>
    <cellStyle name="20% - アクセント 4" xfId="27" builtinId="42" customBuiltin="1"/>
    <cellStyle name="20% - アクセント 5" xfId="30" builtinId="46" customBuiltin="1"/>
    <cellStyle name="20% - アクセント 6" xfId="33" builtinId="50" customBuiltin="1"/>
    <cellStyle name="40% - アクセント 1" xfId="19" builtinId="31" customBuiltin="1"/>
    <cellStyle name="40% - アクセント 2" xfId="22" builtinId="35" customBuiltin="1"/>
    <cellStyle name="40% - アクセント 3" xfId="25" builtinId="39" customBuiltin="1"/>
    <cellStyle name="40% - アクセント 4" xfId="28" builtinId="43" customBuiltin="1"/>
    <cellStyle name="40% - アクセント 5" xfId="31" builtinId="47" customBuiltin="1"/>
    <cellStyle name="40% - アクセント 6" xfId="34" builtinId="51" customBuiltin="1"/>
    <cellStyle name="60% - アクセント 1 2" xfId="39" xr:uid="{00000000-0005-0000-0000-00000C000000}"/>
    <cellStyle name="60% - アクセント 2 2" xfId="40" xr:uid="{00000000-0005-0000-0000-00000D000000}"/>
    <cellStyle name="60% - アクセント 3 2" xfId="41" xr:uid="{00000000-0005-0000-0000-00000E000000}"/>
    <cellStyle name="60% - アクセント 4 2" xfId="42" xr:uid="{00000000-0005-0000-0000-00000F000000}"/>
    <cellStyle name="60% - アクセント 5 2" xfId="43" xr:uid="{00000000-0005-0000-0000-000010000000}"/>
    <cellStyle name="60% - アクセント 6 2" xfId="44" xr:uid="{00000000-0005-0000-0000-000011000000}"/>
    <cellStyle name="アクセント 1" xfId="17" builtinId="29" customBuiltin="1"/>
    <cellStyle name="アクセント 2" xfId="20" builtinId="33" customBuiltin="1"/>
    <cellStyle name="アクセント 3" xfId="23" builtinId="37" customBuiltin="1"/>
    <cellStyle name="アクセント 4" xfId="26" builtinId="41" customBuiltin="1"/>
    <cellStyle name="アクセント 5" xfId="29" builtinId="45" customBuiltin="1"/>
    <cellStyle name="アクセント 6" xfId="32" builtinId="49" customBuiltin="1"/>
    <cellStyle name="タイトル 2" xfId="37" xr:uid="{00000000-0005-0000-0000-000018000000}"/>
    <cellStyle name="チェック セル" xfId="12" builtinId="23" customBuiltin="1"/>
    <cellStyle name="どちらでもない 2" xfId="38" xr:uid="{00000000-0005-0000-0000-00001A000000}"/>
    <cellStyle name="パーセント" xfId="1" builtinId="5"/>
    <cellStyle name="パーセント 2" xfId="46" xr:uid="{00000000-0005-0000-0000-00001C000000}"/>
    <cellStyle name="ハイパーリンク" xfId="36" builtinId="8"/>
    <cellStyle name="メモ" xfId="14" builtinId="10" customBuiltin="1"/>
    <cellStyle name="リンク セル" xfId="11" builtinId="24" customBuiltin="1"/>
    <cellStyle name="悪い" xfId="7" builtinId="27" customBuiltin="1"/>
    <cellStyle name="計算" xfId="10" builtinId="22" customBuiltin="1"/>
    <cellStyle name="警告文" xfId="13" builtinId="11" customBuiltin="1"/>
    <cellStyle name="見出し 1" xfId="2" builtinId="16" customBuiltin="1"/>
    <cellStyle name="見出し 2" xfId="3" builtinId="17" customBuiltin="1"/>
    <cellStyle name="見出し 3" xfId="4" builtinId="18" customBuiltin="1"/>
    <cellStyle name="見出し 4" xfId="5" builtinId="19" customBuiltin="1"/>
    <cellStyle name="集計" xfId="16" builtinId="25" customBuiltin="1"/>
    <cellStyle name="出力" xfId="9" builtinId="21" customBuiltin="1"/>
    <cellStyle name="説明文" xfId="15" builtinId="53" customBuiltin="1"/>
    <cellStyle name="通貨 2" xfId="49" xr:uid="{A82359BA-941A-4555-8041-3178D035B9E1}"/>
    <cellStyle name="入力" xfId="8" builtinId="20" customBuiltin="1"/>
    <cellStyle name="標準" xfId="0" builtinId="0"/>
    <cellStyle name="標準 2" xfId="35" xr:uid="{00000000-0005-0000-0000-00002C000000}"/>
    <cellStyle name="標準 2 2" xfId="47" xr:uid="{00000000-0005-0000-0000-00002D000000}"/>
    <cellStyle name="標準 3" xfId="45" xr:uid="{00000000-0005-0000-0000-00002E000000}"/>
    <cellStyle name="標準 4" xfId="48" xr:uid="{0C319D4B-A825-4742-A1DF-FDCF81769E91}"/>
    <cellStyle name="良い" xfId="6" builtinId="26" customBuiltin="1"/>
  </cellStyles>
  <dxfs count="6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メイリオ"/>
        <family val="3"/>
        <charset val="128"/>
        <scheme val="none"/>
      </font>
      <numFmt numFmtId="178" formatCode="[$¥-411]#,##0;\-[$¥-411]#,##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メイリオ"/>
        <family val="3"/>
        <charset val="128"/>
        <scheme val="none"/>
      </font>
      <numFmt numFmtId="178" formatCode="[$¥-411]#,##0;\-[$¥-411]#,##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メイリオ"/>
        <family val="3"/>
        <charset val="128"/>
        <scheme val="none"/>
      </font>
      <numFmt numFmtId="178" formatCode="[$¥-411]#,##0;\-[$¥-411]#,##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メイリオ"/>
        <family val="3"/>
        <charset val="128"/>
        <scheme val="none"/>
      </font>
      <numFmt numFmtId="177" formatCode="#&quot;g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メイリオ"/>
        <family val="3"/>
        <charset val="128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メイリオ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メイリオ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メイリオ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メイリオ"/>
        <scheme val="none"/>
      </font>
      <numFmt numFmtId="178" formatCode="[$¥-411]#,##0;\-[$¥-411]#,##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メイリオ"/>
        <scheme val="none"/>
      </font>
      <numFmt numFmtId="177" formatCode="#&quot;g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メイリオ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メイリオ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メイリオ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メイリオ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メイリオ"/>
        <scheme val="none"/>
      </font>
      <numFmt numFmtId="178" formatCode="[$¥-411]#,##0;\-[$¥-411]#,##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メイリオ"/>
        <scheme val="none"/>
      </font>
      <numFmt numFmtId="177" formatCode="#&quot;g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メイリオ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メイリオ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メイリオ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メイリオ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メイリオ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メイリオ"/>
        <scheme val="none"/>
      </font>
      <numFmt numFmtId="178" formatCode="[$¥-411]#,##0;\-[$¥-411]#,##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メイリオ"/>
        <scheme val="none"/>
      </font>
      <numFmt numFmtId="177" formatCode="#&quot;g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メイリオ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メイリオ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メイリオ"/>
        <scheme val="none"/>
      </font>
      <numFmt numFmtId="178" formatCode="[$¥-411]#,##0;\-[$¥-411]#,##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メイリオ"/>
        <scheme val="none"/>
      </font>
      <numFmt numFmtId="178" formatCode="[$¥-411]#,##0;\-[$¥-411]#,##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メイリオ"/>
        <scheme val="none"/>
      </font>
      <numFmt numFmtId="178" formatCode="[$¥-411]#,##0;\-[$¥-411]#,##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メイリオ"/>
        <scheme val="none"/>
      </font>
      <numFmt numFmtId="178" formatCode="[$¥-411]#,##0;\-[$¥-411]#,##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メイリオ"/>
        <scheme val="none"/>
      </font>
      <numFmt numFmtId="177" formatCode="#&quot;g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メイリオ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メイリオ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3"/>
        <name val="メイリオ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メイリオ"/>
        <scheme val="none"/>
      </font>
      <numFmt numFmtId="178" formatCode="[$¥-411]#,##0;\-[$¥-411]#,##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メイリオ"/>
        <scheme val="none"/>
      </font>
      <numFmt numFmtId="178" formatCode="[$¥-411]#,##0;\-[$¥-411]#,##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メイリオ"/>
        <scheme val="none"/>
      </font>
      <numFmt numFmtId="177" formatCode="#&quot;g&quot;"/>
    </dxf>
    <dxf>
      <font>
        <strike val="0"/>
        <outline val="0"/>
        <shadow val="0"/>
        <u val="none"/>
        <vertAlign val="baseline"/>
        <color theme="3"/>
        <name val="メイリオ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メイリオ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3"/>
        <name val="メイリオ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メイリオ"/>
        <scheme val="none"/>
      </font>
      <numFmt numFmtId="178" formatCode="[$¥-411]#,##0;\-[$¥-411]#,##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メイリオ"/>
        <scheme val="none"/>
      </font>
      <numFmt numFmtId="178" formatCode="[$¥-411]#,##0;\-[$¥-411]#,##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メイリオ"/>
        <scheme val="none"/>
      </font>
      <numFmt numFmtId="177" formatCode="#&quot;g&quot;"/>
    </dxf>
    <dxf>
      <font>
        <strike val="0"/>
        <outline val="0"/>
        <shadow val="0"/>
        <u val="none"/>
        <vertAlign val="baseline"/>
        <color theme="3"/>
        <name val="メイリオ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メイリオ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メイリオ"/>
        <scheme val="none"/>
      </font>
      <numFmt numFmtId="178" formatCode="[$¥-411]#,##0;\-[$¥-411]#,##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メイリオ"/>
        <scheme val="none"/>
      </font>
      <numFmt numFmtId="178" formatCode="[$¥-411]#,##0;\-[$¥-411]#,##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メイリオ"/>
        <scheme val="none"/>
      </font>
      <numFmt numFmtId="178" formatCode="[$¥-411]#,##0;\-[$¥-411]#,##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メイリオ"/>
        <scheme val="none"/>
      </font>
      <numFmt numFmtId="178" formatCode="[$¥-411]#,##0;\-[$¥-411]#,##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メイリオ"/>
        <scheme val="none"/>
      </font>
      <numFmt numFmtId="177" formatCode="#&quot;g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メイリオ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メイリオ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3"/>
        <name val="ＭＳ Ｐゴシック"/>
        <scheme val="minor"/>
      </font>
    </dxf>
    <dxf>
      <font>
        <strike val="0"/>
        <outline val="0"/>
        <shadow val="0"/>
        <u val="none"/>
        <vertAlign val="baseline"/>
        <sz val="11"/>
        <color theme="3"/>
        <name val="ＭＳ Ｐゴシック"/>
        <scheme val="minor"/>
      </font>
    </dxf>
    <dxf>
      <font>
        <strike val="0"/>
        <outline val="0"/>
        <shadow val="0"/>
        <u val="none"/>
        <vertAlign val="baseline"/>
        <sz val="11"/>
        <color theme="3"/>
        <name val="ＭＳ Ｐゴシック"/>
        <scheme val="minor"/>
      </font>
    </dxf>
    <dxf>
      <font>
        <strike val="0"/>
        <outline val="0"/>
        <shadow val="0"/>
        <u val="none"/>
        <vertAlign val="baseline"/>
        <sz val="11"/>
        <color theme="3"/>
        <name val="ＭＳ Ｐゴシック"/>
        <scheme val="minor"/>
      </font>
    </dxf>
    <dxf>
      <font>
        <strike val="0"/>
        <outline val="0"/>
        <shadow val="0"/>
        <u val="none"/>
        <vertAlign val="baseline"/>
        <sz val="11"/>
        <color theme="3"/>
        <name val="ＭＳ Ｐゴシック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ＭＳ Ｐゴシック"/>
        <scheme val="minor"/>
      </font>
      <numFmt numFmtId="13" formatCode="0%"/>
      <alignment horizontal="right" vertical="center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kabuka?code=0950_1" connectionId="1" xr16:uid="{52812791-DB0F-4C54-B9C3-A8D21AA22A94}" autoFormatId="20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1000000}" name="テーブル4" displayName="テーブル4" ref="B2:E6000" totalsRowShown="0" headerRowDxfId="56" dataDxfId="55">
  <tableColumns count="4">
    <tableColumn id="1" xr3:uid="{00000000-0010-0000-0100-000001000000}" name="4.00%" dataDxfId="54"/>
    <tableColumn id="2" xr3:uid="{00000000-0010-0000-0100-000002000000}" name="6.15%" dataDxfId="53"/>
    <tableColumn id="3" xr3:uid="{00000000-0010-0000-0100-000003000000}" name="7.15%" dataDxfId="52"/>
    <tableColumn id="4" xr3:uid="{00000000-0010-0000-0100-000004000000}" name="8.15%" dataDxfId="51"/>
  </tableColumns>
  <tableStyleInfo name="TableStyleLight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2000000}" name="テーブル10" displayName="テーブル10" ref="B3:F47" totalsRowShown="0" headerRowDxfId="50" dataDxfId="49" headerRowCellStyle="見出し 4" dataCellStyle="標準 2 2">
  <autoFilter ref="B3:F47" xr:uid="{00000000-0009-0000-0100-000001000000}"/>
  <tableColumns count="5">
    <tableColumn id="1" xr3:uid="{00000000-0010-0000-0200-000001000000}" name="重量" dataDxfId="48" dataCellStyle="標準 3"/>
    <tableColumn id="2" xr3:uid="{00000000-0010-0000-0200-000002000000}" name="アジア" dataDxfId="47" dataCellStyle="標準 3"/>
    <tableColumn id="3" xr3:uid="{00000000-0010-0000-0200-000003000000}" name="北米" dataDxfId="46" dataCellStyle="標準 3"/>
    <tableColumn id="4" xr3:uid="{00000000-0010-0000-0200-000004000000}" name="欧州" dataDxfId="45" dataCellStyle="標準 3"/>
    <tableColumn id="5" xr3:uid="{00000000-0010-0000-0200-000005000000}" name="南米" dataDxfId="44" dataCellStyle="標準 3"/>
  </tableColumns>
  <tableStyleInfo name="TableStyleLight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3000000}" name="テーブル11" displayName="テーブル11" ref="H3:K21" totalsRowShown="0" headerRowDxfId="43" dataDxfId="42" headerRowCellStyle="見出し 4">
  <autoFilter ref="H3:K21" xr:uid="{00000000-0009-0000-0100-000002000000}"/>
  <tableColumns count="4">
    <tableColumn id="1" xr3:uid="{00000000-0010-0000-0300-000001000000}" name="重量" dataDxfId="41" dataCellStyle="標準 3"/>
    <tableColumn id="2" xr3:uid="{00000000-0010-0000-0300-000002000000}" name="アジア" dataDxfId="40" dataCellStyle="標準 3"/>
    <tableColumn id="3" xr3:uid="{00000000-0010-0000-0300-000003000000}" name="北米・欧州" dataDxfId="39" dataCellStyle="標準 3"/>
    <tableColumn id="4" xr3:uid="{00000000-0010-0000-0300-000004000000}" name="南米" dataDxfId="38"/>
  </tableColumns>
  <tableStyleInfo name="TableStyleLight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4000000}" name="テーブル12" displayName="テーブル12" ref="M3:P24" totalsRowShown="0" headerRowDxfId="37" dataDxfId="36" headerRowCellStyle="見出し 4">
  <autoFilter ref="M3:P24" xr:uid="{00000000-0009-0000-0100-000003000000}"/>
  <tableColumns count="4">
    <tableColumn id="1" xr3:uid="{00000000-0010-0000-0400-000001000000}" name="重量" dataDxfId="35" dataCellStyle="標準 3"/>
    <tableColumn id="2" xr3:uid="{00000000-0010-0000-0400-000002000000}" name="アジア" dataDxfId="34" dataCellStyle="標準 3"/>
    <tableColumn id="3" xr3:uid="{00000000-0010-0000-0400-000003000000}" name="北米・欧州" dataDxfId="33" dataCellStyle="標準 3"/>
    <tableColumn id="4" xr3:uid="{00000000-0010-0000-0400-000004000000}" name="南米" dataDxfId="32"/>
  </tableColumns>
  <tableStyleInfo name="TableStyleLight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テーブル13" displayName="テーブル13" ref="R3:V34" totalsRowShown="0" headerRowDxfId="31" dataDxfId="30" headerRowCellStyle="見出し 4" dataCellStyle="標準 2 2">
  <autoFilter ref="R3:V34" xr:uid="{00000000-0009-0000-0100-000006000000}"/>
  <tableColumns count="5">
    <tableColumn id="1" xr3:uid="{00000000-0010-0000-0500-000001000000}" name="重量" dataDxfId="29" dataCellStyle="標準 3"/>
    <tableColumn id="2" xr3:uid="{00000000-0010-0000-0500-000002000000}" name="東アジア" dataDxfId="28" dataCellStyle="標準 3"/>
    <tableColumn id="3" xr3:uid="{00000000-0010-0000-0500-000003000000}" name="東南・西南_x000a_アジア" dataDxfId="27" dataCellStyle="標準 3"/>
    <tableColumn id="4" xr3:uid="{00000000-0010-0000-0500-000004000000}" name="北米・欧州" dataDxfId="26" dataCellStyle="標準 3"/>
    <tableColumn id="5" xr3:uid="{00000000-0010-0000-0500-000005000000}" name="南米" dataDxfId="25" dataCellStyle="標準 3"/>
  </tableColumns>
  <tableStyleInfo name="TableStyleLight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テーブル132" displayName="テーブル132" ref="X3:AB44" totalsRowShown="0" headerRowDxfId="24" dataDxfId="23" headerRowCellStyle="見出し 4" dataCellStyle="標準 2 2">
  <autoFilter ref="X3:AB44" xr:uid="{00000000-0009-0000-0100-000007000000}"/>
  <tableColumns count="5">
    <tableColumn id="1" xr3:uid="{00000000-0010-0000-0600-000001000000}" name="重量" dataDxfId="22" dataCellStyle="標準 3"/>
    <tableColumn id="2" xr3:uid="{00000000-0010-0000-0600-000002000000}" name="東アジア" dataDxfId="21" dataCellStyle="標準 3"/>
    <tableColumn id="6" xr3:uid="{00000000-0010-0000-0600-000006000000}" name="東南・西南_x000a_アジア" dataDxfId="20" dataCellStyle="標準 3"/>
    <tableColumn id="7" xr3:uid="{00000000-0010-0000-0600-000007000000}" name="北米・欧州" dataDxfId="19" dataCellStyle="標準 3"/>
    <tableColumn id="8" xr3:uid="{00000000-0010-0000-0600-000008000000}" name="南米" dataDxfId="18" dataCellStyle="標準 3"/>
  </tableColumns>
  <tableStyleInfo name="TableStyleLight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7000000}" name="テーブル1329" displayName="テーブル1329" ref="AD3:AG18" totalsRowShown="0" headerRowDxfId="17" dataDxfId="16" headerRowCellStyle="見出し 4" dataCellStyle="標準 2 2">
  <autoFilter ref="AD3:AG18" xr:uid="{00000000-0009-0000-0100-000008000000}"/>
  <tableColumns count="4">
    <tableColumn id="1" xr3:uid="{00000000-0010-0000-0700-000001000000}" name="重量" dataDxfId="15" dataCellStyle="標準 3"/>
    <tableColumn id="2" xr3:uid="{00000000-0010-0000-0700-000002000000}" name="東アジア" dataDxfId="14" dataCellStyle="標準 3"/>
    <tableColumn id="7" xr3:uid="{00000000-0010-0000-0700-000007000000}" name="北米・欧州" dataDxfId="13" dataCellStyle="標準 3"/>
    <tableColumn id="8" xr3:uid="{00000000-0010-0000-0700-000008000000}" name="南米" dataDxfId="12" dataCellStyle="標準 3"/>
  </tableColumns>
  <tableStyleInfo name="TableStyleLight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251994F8-A654-48ED-B435-4A7A41281A5B}" name="テーブル13210" displayName="テーブル13210" ref="AI3:AL29" totalsRowShown="0" headerRowDxfId="11" dataDxfId="10" headerRowCellStyle="見出し 4" dataCellStyle="標準 2 2">
  <autoFilter ref="AI3:AL29" xr:uid="{B93B2E8F-37CE-4781-A5DB-0BFF22D65EC7}"/>
  <tableColumns count="4">
    <tableColumn id="1" xr3:uid="{F17D7051-73D3-40E4-AB23-BCBF5033CE49}" name="重量" dataDxfId="9" dataCellStyle="標準 3"/>
    <tableColumn id="2" xr3:uid="{94DAA0B5-E1E3-483A-B42F-0A27913BA368}" name="アジア" dataDxfId="8" dataCellStyle="標準 3"/>
    <tableColumn id="6" xr3:uid="{DBAB2ED2-FE2B-4165-97A6-EA4A534BCEB5}" name="北中米・豪_x000a_欧州・中東" dataDxfId="7" dataCellStyle="標準 3"/>
    <tableColumn id="7" xr3:uid="{980F839B-1030-408C-AF17-68E486085EB9}" name="南　 米_x000a_アフリカ" dataDxfId="6" dataCellStyle="標準 3"/>
  </tableColumns>
  <tableStyleInfo name="TableStyleLight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7C9E959C-4DE6-4E9B-82BD-6934CB72CA22}" name="テーブル1321011" displayName="テーブル1321011" ref="AN3:AQ29" totalsRowShown="0" headerRowDxfId="5" dataDxfId="4" headerRowCellStyle="見出し 4" dataCellStyle="標準 3">
  <autoFilter ref="AN3:AQ29" xr:uid="{C8FDDBE2-17A2-451F-B18A-07D9CE049C57}"/>
  <tableColumns count="4">
    <tableColumn id="1" xr3:uid="{7FD680DC-2EF8-4F7E-B5E3-08155928456D}" name="重量" dataDxfId="3" dataCellStyle="標準 3"/>
    <tableColumn id="2" xr3:uid="{71384E7D-70BB-472F-9240-BE7DEE20125C}" name="アジア" dataDxfId="2" dataCellStyle="標準 3"/>
    <tableColumn id="6" xr3:uid="{ACE76486-C6C5-42FA-9195-E94C67DE2D94}" name="北中米・豪_x000a_欧州・中東" dataDxfId="1" dataCellStyle="標準 3"/>
    <tableColumn id="7" xr3:uid="{B244BA33-6B05-45E7-A948-4E7DA5BB472D}" name="南　 米_x000a_アフリカ" dataDxfId="0" dataCellStyle="標準 3"/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DE2DD7-D65B-421D-9EFC-BA3C83DBD11A}">
  <dimension ref="B1:P35"/>
  <sheetViews>
    <sheetView workbookViewId="0">
      <selection activeCell="B20" sqref="B20"/>
    </sheetView>
  </sheetViews>
  <sheetFormatPr defaultColWidth="12" defaultRowHeight="20"/>
  <cols>
    <col min="1" max="1" width="5" style="28" customWidth="1"/>
    <col min="2" max="6" width="18.08203125" style="68" customWidth="1"/>
    <col min="7" max="7" width="5" style="90" customWidth="1"/>
    <col min="8" max="10" width="8.4140625" style="68" customWidth="1"/>
    <col min="11" max="11" width="8.4140625" style="67" customWidth="1"/>
    <col min="12" max="15" width="8.4140625" style="28" customWidth="1"/>
    <col min="16" max="16" width="11.6640625" style="28" customWidth="1"/>
    <col min="17" max="16384" width="12" style="28"/>
  </cols>
  <sheetData>
    <row r="1" spans="2:16" ht="20.399999999999999" customHeight="1" thickBot="1">
      <c r="B1" s="91" t="s">
        <v>100</v>
      </c>
      <c r="C1" s="91"/>
      <c r="D1" s="91"/>
      <c r="E1" s="91"/>
      <c r="F1" s="91"/>
      <c r="G1" s="88"/>
      <c r="H1" s="80" t="s">
        <v>63</v>
      </c>
      <c r="I1" s="68" t="s">
        <v>64</v>
      </c>
      <c r="J1" s="68" t="s">
        <v>65</v>
      </c>
      <c r="K1" s="70" t="s">
        <v>66</v>
      </c>
      <c r="L1" s="81" t="s">
        <v>67</v>
      </c>
      <c r="M1" s="82" t="s">
        <v>101</v>
      </c>
      <c r="N1" s="82" t="s">
        <v>102</v>
      </c>
      <c r="O1" s="82" t="s">
        <v>103</v>
      </c>
    </row>
    <row r="2" spans="2:16" ht="20.399999999999999" customHeight="1" thickBot="1">
      <c r="B2" s="66" t="s">
        <v>33</v>
      </c>
      <c r="C2" s="36" t="s">
        <v>34</v>
      </c>
      <c r="D2" s="36" t="s">
        <v>35</v>
      </c>
      <c r="E2" s="36" t="s">
        <v>36</v>
      </c>
      <c r="F2" s="37" t="s">
        <v>37</v>
      </c>
      <c r="G2" s="69"/>
      <c r="H2" s="79">
        <v>43628</v>
      </c>
      <c r="I2" s="71">
        <v>108.52</v>
      </c>
      <c r="J2" s="71">
        <v>108.57</v>
      </c>
      <c r="K2" s="72">
        <v>108.28</v>
      </c>
      <c r="L2" s="83">
        <v>108.31</v>
      </c>
      <c r="M2" s="83">
        <v>-0.21</v>
      </c>
      <c r="N2" s="83">
        <v>-0.2</v>
      </c>
      <c r="O2" s="83">
        <v>0</v>
      </c>
      <c r="P2" s="32"/>
    </row>
    <row r="3" spans="2:16" ht="20.399999999999999" customHeight="1" thickBot="1">
      <c r="B3" s="38">
        <f>L2</f>
        <v>108.31</v>
      </c>
      <c r="C3" s="39">
        <v>2.9000000000000001E-2</v>
      </c>
      <c r="D3" s="40">
        <v>2.5000000000000001E-2</v>
      </c>
      <c r="E3" s="41">
        <v>0</v>
      </c>
      <c r="F3" s="39">
        <v>0</v>
      </c>
      <c r="G3" s="84"/>
      <c r="H3" s="73">
        <v>43593</v>
      </c>
      <c r="I3" s="74">
        <v>110.28</v>
      </c>
      <c r="J3" s="74">
        <v>110.3</v>
      </c>
      <c r="L3" s="67"/>
      <c r="M3" s="67"/>
      <c r="N3" s="67"/>
      <c r="O3" s="67"/>
      <c r="P3" s="32"/>
    </row>
    <row r="4" spans="2:16" ht="20.399999999999999" customHeight="1">
      <c r="B4" s="37" t="s">
        <v>38</v>
      </c>
      <c r="C4" s="37" t="s">
        <v>39</v>
      </c>
      <c r="D4" s="37" t="s">
        <v>40</v>
      </c>
      <c r="E4" s="37" t="s">
        <v>41</v>
      </c>
      <c r="F4" s="37" t="s">
        <v>42</v>
      </c>
      <c r="G4" s="69"/>
      <c r="K4" s="75"/>
      <c r="L4" s="31"/>
      <c r="M4" s="31"/>
      <c r="N4" s="31"/>
      <c r="O4" s="31"/>
      <c r="P4" s="32"/>
    </row>
    <row r="5" spans="2:16" ht="20.399999999999999" customHeight="1">
      <c r="B5" s="38" t="s">
        <v>94</v>
      </c>
      <c r="C5" s="40">
        <v>0</v>
      </c>
      <c r="D5" s="42"/>
      <c r="E5" s="39">
        <v>0</v>
      </c>
      <c r="F5" s="63">
        <v>0</v>
      </c>
      <c r="G5" s="85"/>
      <c r="H5" s="69"/>
      <c r="I5" s="69"/>
      <c r="J5" s="69"/>
      <c r="K5" s="75"/>
      <c r="L5" s="31"/>
      <c r="M5" s="31"/>
      <c r="N5" s="31"/>
      <c r="O5" s="31"/>
      <c r="P5" s="32"/>
    </row>
    <row r="6" spans="2:16" ht="20.399999999999999" customHeight="1">
      <c r="B6" s="43" t="s">
        <v>43</v>
      </c>
      <c r="C6" s="43" t="s">
        <v>44</v>
      </c>
      <c r="D6" s="43" t="s">
        <v>45</v>
      </c>
      <c r="E6" s="44" t="s">
        <v>46</v>
      </c>
      <c r="F6" s="64" t="s">
        <v>47</v>
      </c>
      <c r="G6" s="69"/>
      <c r="H6" s="76"/>
      <c r="I6" s="69"/>
      <c r="J6" s="69"/>
      <c r="K6" s="75"/>
      <c r="L6" s="31"/>
      <c r="M6" s="31"/>
      <c r="N6" s="31"/>
      <c r="O6" s="31"/>
      <c r="P6" s="32"/>
    </row>
    <row r="7" spans="2:16" ht="20.399999999999999" customHeight="1">
      <c r="B7" s="45">
        <v>148000</v>
      </c>
      <c r="C7" s="46">
        <v>1653</v>
      </c>
      <c r="D7" s="47">
        <v>1000</v>
      </c>
      <c r="E7" s="38"/>
      <c r="F7" s="65">
        <f>カテゴリー手数料一覧!$I$5</f>
        <v>9.1499999999999998E-2</v>
      </c>
      <c r="G7" s="86"/>
      <c r="H7" s="76"/>
      <c r="I7" s="69"/>
      <c r="J7" s="69"/>
      <c r="K7" s="75"/>
      <c r="L7" s="31"/>
      <c r="M7" s="31"/>
      <c r="N7" s="31"/>
      <c r="O7" s="31"/>
      <c r="P7" s="32"/>
    </row>
    <row r="8" spans="2:16" s="30" customFormat="1" ht="20.399999999999999" customHeight="1">
      <c r="B8" s="48" t="s">
        <v>62</v>
      </c>
      <c r="C8" s="49" t="s">
        <v>19</v>
      </c>
      <c r="D8" s="50" t="s">
        <v>17</v>
      </c>
      <c r="E8" s="35" t="s">
        <v>95</v>
      </c>
      <c r="F8" s="51"/>
      <c r="G8" s="86"/>
      <c r="H8" s="76"/>
      <c r="I8" s="69"/>
      <c r="J8" s="69"/>
      <c r="K8" s="75"/>
      <c r="L8" s="31"/>
      <c r="M8" s="31"/>
      <c r="N8" s="31"/>
      <c r="O8" s="31"/>
    </row>
    <row r="9" spans="2:16" s="30" customFormat="1" ht="20.399999999999999" customHeight="1">
      <c r="B9" s="52">
        <f>B3*C9</f>
        <v>8111.9935174000138</v>
      </c>
      <c r="C9" s="53">
        <f>IF(C8=リストシート!B11,リストシート!B12,IF(C8=リストシート!C11,リストシート!C12,IF(C8=リストシート!D11,リストシート!D12,"error")))</f>
        <v>74.896071622195677</v>
      </c>
      <c r="D9" s="54">
        <v>0.06</v>
      </c>
      <c r="E9" s="55"/>
      <c r="F9" s="56"/>
      <c r="G9" s="69"/>
      <c r="H9" s="76"/>
      <c r="I9" s="69"/>
      <c r="J9" s="69"/>
      <c r="K9" s="75"/>
      <c r="L9" s="31"/>
      <c r="M9" s="31"/>
      <c r="N9" s="31"/>
      <c r="O9" s="31"/>
    </row>
    <row r="10" spans="2:16" ht="20.399999999999999" customHeight="1">
      <c r="B10" s="92"/>
      <c r="C10" s="93"/>
      <c r="D10" s="93"/>
      <c r="E10" s="93"/>
      <c r="F10" s="94"/>
      <c r="G10" s="87"/>
      <c r="H10" s="76"/>
      <c r="I10" s="69"/>
      <c r="J10" s="69"/>
      <c r="K10" s="75"/>
      <c r="L10" s="31"/>
      <c r="M10" s="31"/>
      <c r="N10" s="31"/>
      <c r="O10" s="31"/>
    </row>
    <row r="11" spans="2:16" ht="20.399999999999999" customHeight="1">
      <c r="B11" s="95" t="s">
        <v>48</v>
      </c>
      <c r="C11" s="95"/>
      <c r="D11" s="95"/>
      <c r="E11" s="95"/>
      <c r="F11" s="95"/>
      <c r="G11" s="88"/>
      <c r="H11" s="76"/>
      <c r="I11" s="69"/>
      <c r="J11" s="69"/>
      <c r="K11" s="75"/>
      <c r="L11" s="31"/>
      <c r="M11" s="31"/>
      <c r="N11" s="31"/>
      <c r="O11" s="31"/>
    </row>
    <row r="12" spans="2:16" ht="20.399999999999999" customHeight="1">
      <c r="B12" s="57" t="s">
        <v>49</v>
      </c>
      <c r="C12" s="57" t="s">
        <v>50</v>
      </c>
      <c r="D12" s="57" t="s">
        <v>51</v>
      </c>
      <c r="E12" s="57" t="s">
        <v>52</v>
      </c>
      <c r="F12" s="77" t="s">
        <v>53</v>
      </c>
      <c r="G12" s="69"/>
      <c r="H12" s="76"/>
      <c r="I12" s="69"/>
      <c r="J12" s="69"/>
      <c r="K12" s="75"/>
      <c r="L12" s="31"/>
      <c r="M12" s="31"/>
      <c r="N12" s="31"/>
      <c r="O12" s="31"/>
    </row>
    <row r="13" spans="2:16" ht="20.399999999999999" customHeight="1">
      <c r="B13" s="66" t="s">
        <v>9</v>
      </c>
      <c r="C13" s="58">
        <f>IF($D$7="","-",IF(C23=0,"発送不可",$B$9-C23+($B$7*リストシート!$B$19)+(C23*$E$5)+(C23*$F$3)-$E$3))</f>
        <v>6011.9935174000138</v>
      </c>
      <c r="D13" s="59">
        <f>IF($D$7="","-",IF(D23=0,"発送不可",$B$9-D23+($B$7*リストシート!$B$19)+(D23*$E$5)+(D23*$F$3)-$E$3))</f>
        <v>5211.9935174000138</v>
      </c>
      <c r="E13" s="59">
        <f>IF($D$7="","-",IF(E23=0,"発送不可",$B$9-E23+($B$7*リストシート!$B$19)+(E23*$E$5)+(E23*$F$3)-$E$3))</f>
        <v>4011.9935174000138</v>
      </c>
      <c r="F13" s="78">
        <f>IF($D$7="","-",IF(F23=0,"発送不可",$B$9-F23+($B$7*リストシート!$B$19)+(F23*$E$5)+(F23*$F$3)-$E$3))</f>
        <v>4911.9935174000138</v>
      </c>
      <c r="G13" s="89"/>
      <c r="H13" s="76"/>
      <c r="I13" s="69"/>
      <c r="J13" s="69"/>
      <c r="K13" s="75"/>
      <c r="L13" s="31"/>
      <c r="M13" s="31"/>
      <c r="N13" s="31"/>
      <c r="O13" s="31"/>
    </row>
    <row r="14" spans="2:16" ht="20.399999999999999" customHeight="1">
      <c r="B14" s="66" t="s">
        <v>54</v>
      </c>
      <c r="C14" s="58">
        <f>IF($D$7="","-",IF(C24=0,"発送不可",$B$9-C24+($B$7*リストシート!$B$19)+(C24*$E$5)+(C24*$F$3)-$E$3))</f>
        <v>6311.9935174000138</v>
      </c>
      <c r="D14" s="59">
        <f>IF($D$7="","-",IF(D24=0,"発送不可",$B$9-D24+($B$7*リストシート!$B$19)+(D24*$E$5)+(D24*$F$3)-$E$3))</f>
        <v>5411.9935174000138</v>
      </c>
      <c r="E14" s="59">
        <f>IF($D$7="","-",IF(E24=0,"発送不可",$B$9-E24+($B$7*リストシート!$B$19)+(E24*$E$5)+(E24*$F$3)-$E$3))</f>
        <v>4711.9935174000138</v>
      </c>
      <c r="F14" s="78">
        <f>IF($D$7="","-",IF(F24=0,"発送不可",$B$9-F24+($B$7*リストシート!$B$19)+(F24*$E$5)+(F24*$F$3)-$E$3))</f>
        <v>5411.9935174000138</v>
      </c>
      <c r="G14" s="89"/>
      <c r="H14" s="76"/>
      <c r="I14" s="69"/>
      <c r="J14" s="69"/>
      <c r="K14" s="75"/>
      <c r="L14" s="31"/>
      <c r="M14" s="31"/>
      <c r="N14" s="31"/>
      <c r="O14" s="31"/>
    </row>
    <row r="15" spans="2:16" ht="20.399999999999999" customHeight="1">
      <c r="B15" s="66" t="s">
        <v>11</v>
      </c>
      <c r="C15" s="60">
        <f>IF($D$7="","-",IF(C25=0,"発送不可",$B$9-C25+($B$7*リストシート!$B$19)+(C25*$E$5)+(C25*$F$3)-$E$3))</f>
        <v>6631.9935174000138</v>
      </c>
      <c r="D15" s="59">
        <f>IF($D$7="","-",IF(D25=0,"発送不可",$B$9-D25+($B$7*リストシート!$B$19)+(D25*$E$5)+(D25*$F$3)-$E$3))</f>
        <v>6126.9935174000138</v>
      </c>
      <c r="E15" s="59">
        <f>IF($D$7="","-",IF(E25=0,"発送不可",$B$9-E25+($B$7*リストシート!$B$19)+(E25*$E$5)+(E25*$F$3)-$E$3))</f>
        <v>5536.9935174000138</v>
      </c>
      <c r="F15" s="78">
        <f>IF($D$7="","-",IF(F25=0,"発送不可",$B$9-F25+($B$7*リストシート!$B$19)+(F25*$E$5)+(F25*$F$3)-$E$3))</f>
        <v>6126.9935174000138</v>
      </c>
      <c r="G15" s="89"/>
      <c r="H15" s="76"/>
      <c r="I15" s="69"/>
      <c r="J15" s="69"/>
      <c r="K15" s="75"/>
      <c r="L15" s="31"/>
      <c r="M15" s="31"/>
      <c r="N15" s="31"/>
      <c r="O15" s="31"/>
    </row>
    <row r="16" spans="2:16" ht="20.399999999999999" customHeight="1">
      <c r="B16" s="66" t="s">
        <v>32</v>
      </c>
      <c r="C16" s="60">
        <f>IF($D$7="","-",IF(C26=0,"発送不可",$B$9-C26+($B$7*リストシート!$B$19)+(C26*$E$5)+(C26*$F$3)-$E$3))</f>
        <v>6991.9935174000138</v>
      </c>
      <c r="D16" s="59">
        <f>IF($D$7="","-",IF(D26=0,"発送不可",$B$9-D26+($B$7*リストシート!$B$19)+(D26*$E$5)+(D26*$F$3)-$E$3))</f>
        <v>6791.9935174000138</v>
      </c>
      <c r="E16" s="59">
        <f>IF($D$7="","-",IF(E26=0,"発送不可",$B$9-E26+($B$7*リストシート!$B$19)+(E26*$E$5)+(E26*$F$3)-$E$3))</f>
        <v>6591.9935174000138</v>
      </c>
      <c r="F16" s="78">
        <f>IF($D$7="","-",IF(F26=0,"発送不可",$B$9-F26+($B$7*リストシート!$B$19)+(F26*$E$5)+(F26*$F$3)-$E$3))</f>
        <v>6791.9935174000138</v>
      </c>
      <c r="G16" s="89"/>
      <c r="H16" s="76"/>
      <c r="I16" s="69"/>
      <c r="J16" s="69"/>
      <c r="K16" s="75"/>
      <c r="L16" s="31"/>
      <c r="M16" s="31"/>
      <c r="N16" s="31"/>
      <c r="O16" s="31"/>
    </row>
    <row r="17" spans="2:15" ht="20.399999999999999" customHeight="1">
      <c r="B17" s="66" t="s">
        <v>96</v>
      </c>
      <c r="C17" s="58">
        <f>IF($D$7="","-",IF(C27=0,"発送不可",$B$9-C27+($B$7*リストシート!$B$19)+(C27*$E$5)+(C27*$F$3)-$E$3))</f>
        <v>6821.9935174000138</v>
      </c>
      <c r="D17" s="59">
        <f>IF($D$7="","-",IF(D27=0,"発送不可",$B$9-D27+($B$7*リストシート!$B$19)+(D27*$E$5)+(D27*$F$3)-$E$3))</f>
        <v>6621.9935174000138</v>
      </c>
      <c r="E17" s="59">
        <f>IF($D$7="","-",IF(E27=0,"発送不可",$B$9-E27+($B$7*リストシート!$B$19)+(E27*$E$5)+(E27*$F$3)-$E$3))</f>
        <v>6421.9935174000138</v>
      </c>
      <c r="F17" s="78">
        <f>IF($D$7="","-",IF(F27=0,"発送不可",$B$9-F27+($B$7*リストシート!$B$19)+(F27*$E$5)+(F27*$F$3)-$E$3))</f>
        <v>6621.9935174000138</v>
      </c>
      <c r="G17" s="89"/>
      <c r="H17" s="76"/>
      <c r="I17" s="69"/>
      <c r="J17" s="69"/>
      <c r="K17" s="75"/>
      <c r="L17" s="31"/>
      <c r="M17" s="31"/>
      <c r="N17" s="31"/>
      <c r="O17" s="31"/>
    </row>
    <row r="18" spans="2:15" ht="20.399999999999999" customHeight="1">
      <c r="B18" s="66" t="s">
        <v>97</v>
      </c>
      <c r="C18" s="58">
        <f>IF($D$7="","-",IF(C28=0,"発送不可",$B$9-C28+($B$7*リストシート!$B$19)+(C28*$E$5)+(C28*$F$3)-$E$3))</f>
        <v>6661.9935174000138</v>
      </c>
      <c r="D18" s="59">
        <f>IF($D$7="","-",IF(D28=0,"発送不可",$B$9-D28+($B$7*リストシート!$B$19)+(D28*$E$5)+(D28*$F$3)-$E$3))</f>
        <v>6251.9935174000138</v>
      </c>
      <c r="E18" s="59">
        <f>IF($D$7="","-",IF(E28=0,"発送不可",$B$9-E28+($B$7*リストシート!$B$19)+(E28*$E$5)+(E28*$F$3)-$E$3))</f>
        <v>5661.9935174000138</v>
      </c>
      <c r="F18" s="59">
        <f>IF($D$7="","-",IF(F28=0,"発送不可",$B$9-F28+($B$7*リストシート!$B$19)+(F28*$E$5)+(F28*$F$3)-$E$3))</f>
        <v>6251.9935174000138</v>
      </c>
      <c r="G18" s="89"/>
      <c r="H18" s="76"/>
      <c r="I18" s="69"/>
      <c r="J18" s="69"/>
      <c r="K18" s="75"/>
      <c r="L18" s="31"/>
      <c r="M18" s="31"/>
      <c r="N18" s="31"/>
      <c r="O18" s="31"/>
    </row>
    <row r="19" spans="2:15" ht="20.399999999999999" customHeight="1">
      <c r="B19" s="66" t="s">
        <v>98</v>
      </c>
      <c r="C19" s="58">
        <f>IF($D$7="","-",IF(C29=0,"発送不可",$B$9-C29+($B$7*リストシート!$B$19)+(C29*$E$5)+(C29*$F$3)-$E$3))</f>
        <v>7231.9935174000138</v>
      </c>
      <c r="D19" s="59">
        <f>IF($D$7="","-",IF(D29=0,"発送不可",$B$9-D29+($B$7*リストシート!$B$19)+(D29*$E$5)+(D29*$F$3)-$E$3))</f>
        <v>7031.9935174000138</v>
      </c>
      <c r="E19" s="59">
        <f>IF($D$7="","-",IF(E29=0,"発送不可",$B$9-E29+($B$7*リストシート!$B$19)+(E29*$E$5)+(E29*$F$3)-$E$3))</f>
        <v>6831.9935174000138</v>
      </c>
      <c r="F19" s="59">
        <f>IF($D$7="","-",IF(F29=0,"発送不可",$B$9-F29+($B$7*リストシート!$B$19)+(F29*$E$5)+(F29*$F$3)-$E$3))</f>
        <v>7031.9935174000138</v>
      </c>
      <c r="G19" s="89"/>
      <c r="H19" s="76"/>
      <c r="I19" s="69"/>
      <c r="J19" s="69"/>
      <c r="K19" s="75"/>
      <c r="L19" s="31"/>
      <c r="M19" s="31"/>
      <c r="N19" s="31"/>
      <c r="O19" s="31"/>
    </row>
    <row r="20" spans="2:15" ht="20.399999999999999" customHeight="1">
      <c r="B20" s="66" t="s">
        <v>99</v>
      </c>
      <c r="C20" s="58" t="str">
        <f>IF($D$7="","-",IF(C30=0,"発送不可",$B$9-C30+($B$7*リストシート!$B$19)+(C30*$E$5)+(C30*$F$3)-$E$3))</f>
        <v>発送不可</v>
      </c>
      <c r="D20" s="59" t="str">
        <f>IF($D$7="","-",IF(D30=0,"発送不可",$B$9-D30+($B$7*リストシート!$B$19)+(D30*$E$5)+(D30*$F$3)-$E$3))</f>
        <v>発送不可</v>
      </c>
      <c r="E20" s="59" t="str">
        <f>IF($D$7="","-",IF(E30=0,"発送不可",$B$9-E30+($B$7*リストシート!$B$19)+(E30*$E$5)+(E30*$F$3)-$E$3))</f>
        <v>発送不可</v>
      </c>
      <c r="F20" s="59" t="str">
        <f>IF($D$7="","-",IF(F30=0,"発送不可",$B$9-F30+($B$7*リストシート!$B$19)+(F30*$E$5)+(F30*$F$3)-$E$3))</f>
        <v>発送不可</v>
      </c>
      <c r="G20" s="89"/>
      <c r="H20" s="76"/>
      <c r="I20" s="69"/>
      <c r="J20" s="69"/>
      <c r="K20" s="75"/>
      <c r="L20" s="31"/>
      <c r="M20" s="31"/>
      <c r="N20" s="31"/>
      <c r="O20" s="31"/>
    </row>
    <row r="21" spans="2:15" ht="20.399999999999999" customHeight="1">
      <c r="B21" s="95" t="s">
        <v>55</v>
      </c>
      <c r="C21" s="95"/>
      <c r="D21" s="95"/>
      <c r="E21" s="95"/>
      <c r="F21" s="95"/>
      <c r="G21" s="88"/>
      <c r="H21" s="76"/>
      <c r="I21" s="69"/>
      <c r="J21" s="69"/>
      <c r="K21" s="75"/>
      <c r="L21" s="31"/>
      <c r="M21" s="31"/>
      <c r="N21" s="31"/>
      <c r="O21" s="31"/>
    </row>
    <row r="22" spans="2:15" ht="20.399999999999999" customHeight="1">
      <c r="B22" s="57" t="s">
        <v>49</v>
      </c>
      <c r="C22" s="57" t="s">
        <v>50</v>
      </c>
      <c r="D22" s="57" t="s">
        <v>51</v>
      </c>
      <c r="E22" s="57" t="s">
        <v>52</v>
      </c>
      <c r="F22" s="57" t="s">
        <v>53</v>
      </c>
      <c r="G22" s="69"/>
      <c r="H22" s="76"/>
      <c r="I22" s="69"/>
      <c r="J22" s="69"/>
      <c r="K22" s="75"/>
      <c r="L22" s="31"/>
      <c r="M22" s="31"/>
      <c r="N22" s="31"/>
      <c r="O22" s="31"/>
    </row>
    <row r="23" spans="2:15" ht="20.399999999999999" customHeight="1">
      <c r="B23" s="61" t="s">
        <v>9</v>
      </c>
      <c r="C23" s="62">
        <f>IF($D$7="","-",VLOOKUP($D$7,手数料!$B$4:$F$47,2,1))</f>
        <v>2100</v>
      </c>
      <c r="D23" s="62">
        <f>IF($D$7="","-",VLOOKUP($D$7,手数料!$B$4:$F$47,3,1))</f>
        <v>2900</v>
      </c>
      <c r="E23" s="62">
        <f>IF($D$7="","-",VLOOKUP($D$7,手数料!$B$4:$F$47,5,1))</f>
        <v>4100</v>
      </c>
      <c r="F23" s="62">
        <f>IF($D$7="","-",VLOOKUP($D$7,手数料!$B$4:$F$47,4,1))</f>
        <v>3200</v>
      </c>
      <c r="G23" s="89"/>
      <c r="H23" s="76"/>
      <c r="I23" s="69"/>
      <c r="J23" s="69"/>
      <c r="K23" s="75"/>
      <c r="L23" s="31"/>
      <c r="M23" s="31"/>
      <c r="N23" s="31"/>
      <c r="O23" s="31"/>
    </row>
    <row r="24" spans="2:15" ht="20.399999999999999" customHeight="1">
      <c r="B24" s="61" t="s">
        <v>54</v>
      </c>
      <c r="C24" s="62">
        <f>IF($D$7="","-",VLOOKUP($D$7,手数料!$R$4:$V$34,2,1))</f>
        <v>1800</v>
      </c>
      <c r="D24" s="62">
        <f>IF($D$7="","-",VLOOKUP($D$7,手数料!$R$4:$V$34,4,1))</f>
        <v>2700</v>
      </c>
      <c r="E24" s="62">
        <f>IF($D$7="","-",VLOOKUP($D$7,手数料!$R$4:$V$34,5,1))</f>
        <v>3400</v>
      </c>
      <c r="F24" s="62">
        <f>IF($D$7="","-",VLOOKUP($D$7,手数料!$R$4:$V$34,4,1))</f>
        <v>2700</v>
      </c>
      <c r="G24" s="89"/>
      <c r="H24" s="76"/>
      <c r="I24" s="69"/>
      <c r="J24" s="69"/>
      <c r="K24" s="75"/>
      <c r="L24" s="31"/>
      <c r="M24" s="31"/>
      <c r="N24" s="31"/>
      <c r="O24" s="31"/>
    </row>
    <row r="25" spans="2:15" ht="20.399999999999999" customHeight="1">
      <c r="B25" s="61" t="s">
        <v>11</v>
      </c>
      <c r="C25" s="62">
        <f>IF($D$7="","-",VLOOKUP($D$7,手数料!$H$4:$K$21,2,1))</f>
        <v>1480</v>
      </c>
      <c r="D25" s="62">
        <f>IF($D$7="","-",VLOOKUP($D$7,手数料!$H$4:$K$21,3,1))</f>
        <v>1985</v>
      </c>
      <c r="E25" s="62">
        <f>IF($D$7="","-",VLOOKUP($D$7,手数料!$H$4:$K$21,4,1))</f>
        <v>2575</v>
      </c>
      <c r="F25" s="62">
        <f>IF($D$7="","-",VLOOKUP($D$7,手数料!$H$4:$K$21,3,1))</f>
        <v>1985</v>
      </c>
      <c r="G25" s="89"/>
      <c r="H25" s="76"/>
      <c r="I25" s="69"/>
      <c r="J25" s="69"/>
      <c r="K25" s="75"/>
      <c r="L25" s="31"/>
      <c r="M25" s="31"/>
      <c r="N25" s="31"/>
      <c r="O25" s="31"/>
    </row>
    <row r="26" spans="2:15" ht="20.399999999999999" customHeight="1">
      <c r="B26" s="61" t="s">
        <v>32</v>
      </c>
      <c r="C26" s="62">
        <f>IF($D$7="","-",VLOOKUP($D$7,手数料!$AD$4:$AG$18,2,1))</f>
        <v>1120</v>
      </c>
      <c r="D26" s="62">
        <f>IF($D$7="","-",VLOOKUP($D$7,手数料!$AD$4:$AG$18,3,1))</f>
        <v>1320</v>
      </c>
      <c r="E26" s="62">
        <f>IF($D$7="","-",VLOOKUP($D$7,手数料!$AD$4:$AG$18,4,1))</f>
        <v>1520</v>
      </c>
      <c r="F26" s="62">
        <f>IF($D$7="","-",VLOOKUP($D$7,手数料!$AD$4:$AG$18,3,1))</f>
        <v>1320</v>
      </c>
      <c r="G26" s="89"/>
      <c r="H26" s="76"/>
      <c r="I26" s="69"/>
      <c r="J26" s="69"/>
      <c r="K26" s="75"/>
      <c r="L26" s="31"/>
      <c r="M26" s="31"/>
      <c r="N26" s="31"/>
      <c r="O26" s="31"/>
    </row>
    <row r="27" spans="2:15" ht="20.399999999999999" customHeight="1">
      <c r="B27" s="66" t="s">
        <v>96</v>
      </c>
      <c r="C27" s="62">
        <f>IF($D$7="","-",VLOOKUP($D$7,手数料!$M$4:$P$24,2,1))</f>
        <v>1290</v>
      </c>
      <c r="D27" s="62">
        <f>IF($D$7="","-",VLOOKUP($D$7,手数料!$M$4:$P$24,3,1))</f>
        <v>1490</v>
      </c>
      <c r="E27" s="62">
        <f>IF($D$7="","-",VLOOKUP($D$7,手数料!$M$4:$P$24,4,1))</f>
        <v>1690</v>
      </c>
      <c r="F27" s="62">
        <f>IF($D$7="","-",VLOOKUP($D$7,手数料!$M$4:$P$24,3,1))</f>
        <v>1490</v>
      </c>
      <c r="G27" s="89"/>
      <c r="H27" s="76"/>
      <c r="I27" s="69"/>
      <c r="J27" s="69"/>
      <c r="K27" s="75"/>
      <c r="L27" s="31"/>
      <c r="M27" s="31"/>
      <c r="N27" s="31"/>
      <c r="O27" s="31"/>
    </row>
    <row r="28" spans="2:15" ht="20.399999999999999" customHeight="1">
      <c r="B28" s="66" t="s">
        <v>97</v>
      </c>
      <c r="C28" s="62">
        <f>IF($D$7="","-",VLOOKUP($D$7,手数料!$AI$4:$AL$29,2,1))</f>
        <v>1450</v>
      </c>
      <c r="D28" s="62">
        <f>IF($D$7="","-",VLOOKUP($D$7,手数料!$AI$4:$AL$29,3,1))</f>
        <v>1860</v>
      </c>
      <c r="E28" s="62">
        <f>IF($D$7="","-",VLOOKUP($D$7,手数料!$AI$4:$AL$29,4,1))</f>
        <v>2450</v>
      </c>
      <c r="F28" s="62">
        <f>IF($D$7="","-",VLOOKUP($D$7,手数料!$AI$4:$AL$29,3,1))</f>
        <v>1860</v>
      </c>
      <c r="G28" s="89"/>
      <c r="H28" s="76"/>
      <c r="I28" s="69"/>
      <c r="J28" s="69"/>
      <c r="K28" s="75"/>
      <c r="L28" s="31"/>
      <c r="M28" s="31"/>
      <c r="N28" s="31"/>
      <c r="O28" s="31"/>
    </row>
    <row r="29" spans="2:15" ht="20.399999999999999" customHeight="1">
      <c r="B29" s="66" t="s">
        <v>98</v>
      </c>
      <c r="C29" s="62">
        <f>IF($D$7="","-",VLOOKUP($D$7,手数料!$AN$4:$AQ$29,2,1))</f>
        <v>880</v>
      </c>
      <c r="D29" s="62">
        <f>IF($D$7="","-",VLOOKUP($D$7,手数料!$AN$4:$AQ$29,3,1))</f>
        <v>1080</v>
      </c>
      <c r="E29" s="62">
        <f>IF($D$7="","-",VLOOKUP($D$7,手数料!$AN$4:$AQ$29,4,1))</f>
        <v>1280</v>
      </c>
      <c r="F29" s="62">
        <f>IF($D$7="","-",VLOOKUP($D$7,手数料!$AN$4:$AQ$29,3,1))</f>
        <v>1080</v>
      </c>
      <c r="G29" s="89"/>
      <c r="H29" s="76"/>
      <c r="I29" s="69"/>
      <c r="J29" s="69"/>
      <c r="K29" s="75"/>
      <c r="L29" s="31"/>
      <c r="M29" s="31"/>
      <c r="N29" s="31"/>
      <c r="O29" s="31"/>
    </row>
    <row r="30" spans="2:15" ht="20.399999999999999" customHeight="1">
      <c r="B30" s="66" t="s">
        <v>99</v>
      </c>
      <c r="C30" s="62">
        <f>IF($D$7="","-",VLOOKUP($D$7,手数料!$X$4:$AB$44,2,1))</f>
        <v>0</v>
      </c>
      <c r="D30" s="62">
        <f>IF($D$7="","-",VLOOKUP($D$7,手数料!$X$4:$AB$44,4,1))</f>
        <v>0</v>
      </c>
      <c r="E30" s="62">
        <f>IF($D$7="","-",VLOOKUP($D$7,手数料!$X$4:$AB$44,5,1))</f>
        <v>0</v>
      </c>
      <c r="F30" s="62">
        <f>IF($D$7="","-",VLOOKUP($D$7,手数料!$X$4:$AB$44,4,1))</f>
        <v>0</v>
      </c>
      <c r="G30" s="89"/>
      <c r="H30" s="76"/>
      <c r="I30" s="69"/>
      <c r="J30" s="69"/>
      <c r="K30" s="75"/>
      <c r="L30" s="31"/>
      <c r="M30" s="31"/>
      <c r="N30" s="31"/>
      <c r="O30" s="31"/>
    </row>
    <row r="31" spans="2:15">
      <c r="H31" s="76"/>
      <c r="I31" s="69"/>
      <c r="J31" s="69"/>
      <c r="K31" s="75"/>
      <c r="L31" s="31"/>
      <c r="M31" s="31"/>
      <c r="N31" s="31"/>
      <c r="O31" s="31"/>
    </row>
    <row r="32" spans="2:15">
      <c r="H32" s="76"/>
      <c r="I32" s="69"/>
      <c r="J32" s="69"/>
      <c r="K32" s="75"/>
      <c r="L32" s="31"/>
      <c r="M32" s="31"/>
      <c r="N32" s="31"/>
      <c r="O32" s="31"/>
    </row>
    <row r="33" spans="8:15">
      <c r="H33" s="76"/>
      <c r="I33" s="69"/>
      <c r="J33" s="69"/>
      <c r="K33" s="75"/>
      <c r="L33" s="31"/>
      <c r="M33" s="31"/>
      <c r="N33" s="31"/>
      <c r="O33" s="31"/>
    </row>
    <row r="34" spans="8:15">
      <c r="H34" s="28"/>
      <c r="I34" s="28"/>
      <c r="J34" s="28"/>
      <c r="K34" s="28"/>
    </row>
    <row r="35" spans="8:15">
      <c r="H35" s="28"/>
      <c r="I35" s="28"/>
      <c r="J35" s="28"/>
      <c r="K35" s="28"/>
    </row>
  </sheetData>
  <mergeCells count="4">
    <mergeCell ref="B1:F1"/>
    <mergeCell ref="B10:F10"/>
    <mergeCell ref="B11:F11"/>
    <mergeCell ref="B21:F21"/>
  </mergeCells>
  <phoneticPr fontId="16"/>
  <dataValidations count="1">
    <dataValidation type="list" allowBlank="1" showInputMessage="1" showErrorMessage="1" sqref="B5" xr:uid="{AA2DC709-2D91-4C36-8CBA-3FC3BD2365C7}">
      <formula1>"無効,有効"</formula1>
    </dataValidation>
  </dataValidations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3BC4A5A-FC30-4FD2-BB9E-7F410186FE7E}">
          <x14:formula1>
            <xm:f>リストシート!$B$11:$D$11</xm:f>
          </x14:formula1>
          <xm:sqref>C8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B4:K24"/>
  <sheetViews>
    <sheetView tabSelected="1" topLeftCell="A7" workbookViewId="0">
      <selection activeCell="D19" sqref="D19"/>
    </sheetView>
  </sheetViews>
  <sheetFormatPr defaultColWidth="15.6640625" defaultRowHeight="18" customHeight="1"/>
  <cols>
    <col min="1" max="1" width="3.6640625" style="7" customWidth="1"/>
    <col min="2" max="8" width="15.6640625" style="7"/>
    <col min="9" max="9" width="20.5" style="7" bestFit="1" customWidth="1"/>
    <col min="10" max="10" width="4.83203125" style="7" customWidth="1"/>
    <col min="11" max="11" width="17.5" style="7" bestFit="1" customWidth="1"/>
    <col min="12" max="16384" width="15.6640625" style="7"/>
  </cols>
  <sheetData>
    <row r="4" spans="2:11" ht="18" customHeight="1">
      <c r="B4" s="7" t="s">
        <v>0</v>
      </c>
    </row>
    <row r="5" spans="2:11" ht="18" customHeight="1">
      <c r="B5" s="9">
        <f ca="1">TODAY()</f>
        <v>43654</v>
      </c>
    </row>
    <row r="7" spans="2:11" ht="18" customHeight="1">
      <c r="I7" s="7" t="s">
        <v>75</v>
      </c>
    </row>
    <row r="8" spans="2:11" ht="18" customHeight="1">
      <c r="I8" s="33" t="s">
        <v>69</v>
      </c>
      <c r="J8" s="7" t="s">
        <v>68</v>
      </c>
      <c r="K8" s="33" t="s">
        <v>70</v>
      </c>
    </row>
    <row r="9" spans="2:11" ht="18" customHeight="1">
      <c r="I9" s="7" t="s">
        <v>71</v>
      </c>
      <c r="J9" s="7" t="s">
        <v>68</v>
      </c>
      <c r="K9" s="33" t="s">
        <v>72</v>
      </c>
    </row>
    <row r="10" spans="2:11" ht="18" customHeight="1">
      <c r="B10" s="7" t="s">
        <v>1</v>
      </c>
      <c r="I10" s="33" t="s">
        <v>73</v>
      </c>
      <c r="J10" s="7" t="s">
        <v>68</v>
      </c>
      <c r="K10" s="33" t="s">
        <v>74</v>
      </c>
    </row>
    <row r="11" spans="2:11" ht="18" customHeight="1">
      <c r="B11" s="7" t="s">
        <v>19</v>
      </c>
      <c r="C11" s="7" t="s">
        <v>20</v>
      </c>
      <c r="D11" s="7" t="s">
        <v>27</v>
      </c>
      <c r="F11" s="7" t="s">
        <v>21</v>
      </c>
      <c r="G11" s="7" t="s">
        <v>26</v>
      </c>
      <c r="I11" s="33" t="s">
        <v>82</v>
      </c>
      <c r="J11" s="7" t="s">
        <v>68</v>
      </c>
      <c r="K11" s="33" t="s">
        <v>83</v>
      </c>
    </row>
    <row r="12" spans="2:11" ht="18" customHeight="1">
      <c r="B12" s="10">
        <f>'利益計算表(新)'!C7-(40/'利益計算表(新)'!B3)-('利益計算表(新)'!C7*$F$12*1.08)-('利益計算表(新)'!C7*'利益計算表(新)'!C3)-('利益計算表(新)'!B7/'利益計算表(新)'!B3)</f>
        <v>74.896071622195677</v>
      </c>
      <c r="C12" s="10">
        <f>'利益計算表(新)'!C7-(40/'利益計算表(新)'!B3)-((('利益計算表(新)'!C7*$F$12)-(('利益計算表(新)'!C7*$F$12)*0.1))*1.08)-('利益計算表(新)'!C7*'利益計算表(新)'!C3)-('利益計算表(新)'!B7/'利益計算表(新)'!B3)</f>
        <v>91.231017622195623</v>
      </c>
      <c r="D12" s="10">
        <f>'利益計算表(新)'!C7-(40/'利益計算表(新)'!B3)-('利益計算表(新)'!C7*$G$12*1.08)-('利益計算表(新)'!C7*'利益計算表(新)'!C3)-('利益計算表(新)'!B7/'利益計算表(新)'!B3)</f>
        <v>-103.62792837780444</v>
      </c>
      <c r="F12" s="25">
        <f>IF('利益計算表(新)'!$F$8="",'利益計算表(新)'!$F$7,'利益計算表(新)'!$F$8)</f>
        <v>9.1499999999999998E-2</v>
      </c>
      <c r="G12" s="26">
        <f>F12+0.1</f>
        <v>0.1915</v>
      </c>
    </row>
    <row r="13" spans="2:11" ht="18" customHeight="1">
      <c r="I13" s="7" t="s">
        <v>21</v>
      </c>
    </row>
    <row r="14" spans="2:11" ht="18" customHeight="1">
      <c r="B14" s="7" t="s">
        <v>18</v>
      </c>
      <c r="I14" s="7" t="s">
        <v>76</v>
      </c>
      <c r="J14" s="7" t="s">
        <v>68</v>
      </c>
      <c r="K14" s="33" t="s">
        <v>80</v>
      </c>
    </row>
    <row r="15" spans="2:11" ht="18" customHeight="1">
      <c r="B15" s="11">
        <f>ROUND(IF('利益計算表(新)'!D7&gt;1999,'利益計算表(新)'!D13/'利益計算表(新)'!B7,IF('利益計算表(新)'!C7&gt;150,'利益計算表(新)'!D13/'利益計算表(新)'!B7,'利益計算表(新)'!D17/'利益計算表(新)'!B7)),3)</f>
        <v>3.5000000000000003E-2</v>
      </c>
      <c r="I15" s="7" t="s">
        <v>77</v>
      </c>
      <c r="J15" s="7" t="s">
        <v>68</v>
      </c>
      <c r="K15" s="33" t="s">
        <v>81</v>
      </c>
    </row>
    <row r="17" spans="2:11" ht="18" customHeight="1">
      <c r="B17" s="7" t="s">
        <v>28</v>
      </c>
      <c r="I17" s="7" t="s">
        <v>84</v>
      </c>
      <c r="J17" s="7" t="s">
        <v>68</v>
      </c>
      <c r="K17" s="33" t="s">
        <v>87</v>
      </c>
    </row>
    <row r="18" spans="2:11" ht="18" customHeight="1">
      <c r="B18" s="7" t="s">
        <v>30</v>
      </c>
      <c r="C18" s="7" t="s">
        <v>29</v>
      </c>
      <c r="I18" s="33" t="s">
        <v>85</v>
      </c>
      <c r="J18" s="7" t="s">
        <v>68</v>
      </c>
      <c r="K18" s="33" t="s">
        <v>88</v>
      </c>
    </row>
    <row r="19" spans="2:11" ht="18" customHeight="1">
      <c r="B19" s="27">
        <f>IF('利益計算表(新)'!B5="有効",'利益計算表(新)'!D9,0)</f>
        <v>0</v>
      </c>
      <c r="I19" s="33" t="s">
        <v>82</v>
      </c>
      <c r="J19" s="7" t="s">
        <v>68</v>
      </c>
      <c r="K19" s="33" t="s">
        <v>83</v>
      </c>
    </row>
    <row r="20" spans="2:11" ht="18" customHeight="1">
      <c r="I20" s="33" t="s">
        <v>69</v>
      </c>
      <c r="J20" s="7" t="s">
        <v>68</v>
      </c>
      <c r="K20" s="33" t="s">
        <v>70</v>
      </c>
    </row>
    <row r="21" spans="2:11" ht="18" customHeight="1">
      <c r="I21" s="33" t="s">
        <v>86</v>
      </c>
      <c r="J21" s="7" t="s">
        <v>68</v>
      </c>
      <c r="K21" s="33" t="s">
        <v>89</v>
      </c>
    </row>
    <row r="23" spans="2:11" ht="18" customHeight="1">
      <c r="I23" s="7" t="s">
        <v>90</v>
      </c>
      <c r="J23" s="7" t="s">
        <v>68</v>
      </c>
      <c r="K23" s="33" t="s">
        <v>92</v>
      </c>
    </row>
    <row r="24" spans="2:11" ht="18" customHeight="1">
      <c r="I24" s="33" t="s">
        <v>91</v>
      </c>
      <c r="J24" s="7" t="s">
        <v>68</v>
      </c>
      <c r="K24" s="33" t="s">
        <v>93</v>
      </c>
    </row>
  </sheetData>
  <phoneticPr fontId="16"/>
  <conditionalFormatting sqref="J8:J9">
    <cfRule type="uniqueValues" dxfId="60" priority="5"/>
  </conditionalFormatting>
  <conditionalFormatting sqref="J14:J15">
    <cfRule type="uniqueValues" dxfId="59" priority="4"/>
  </conditionalFormatting>
  <conditionalFormatting sqref="J17:J21">
    <cfRule type="uniqueValues" dxfId="58" priority="2"/>
  </conditionalFormatting>
  <conditionalFormatting sqref="J23:J24">
    <cfRule type="uniqueValues" dxfId="57" priority="1"/>
  </conditionalFormatting>
  <pageMargins left="0.7" right="0.7" top="0.75" bottom="0.75" header="0.3" footer="0.3"/>
  <pageSetup paperSize="9" orientation="portrait" horizontalDpi="4294967293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/>
  <dimension ref="B1:N2634"/>
  <sheetViews>
    <sheetView workbookViewId="0">
      <selection activeCell="J9" sqref="J9"/>
    </sheetView>
  </sheetViews>
  <sheetFormatPr defaultColWidth="9" defaultRowHeight="18" customHeight="1"/>
  <cols>
    <col min="1" max="1" width="3.6640625" style="1" customWidth="1"/>
    <col min="2" max="5" width="9" style="3"/>
    <col min="6" max="11" width="9" style="1"/>
    <col min="12" max="12" width="18.6640625" style="1" customWidth="1"/>
    <col min="13" max="13" width="4.5" style="1" customWidth="1"/>
    <col min="14" max="16384" width="9" style="1"/>
  </cols>
  <sheetData>
    <row r="1" spans="2:14" ht="18" customHeight="1">
      <c r="G1" s="2"/>
      <c r="H1" s="2"/>
      <c r="I1" s="2"/>
      <c r="J1" s="2"/>
    </row>
    <row r="2" spans="2:14" ht="18" customHeight="1">
      <c r="B2" s="22" t="s">
        <v>25</v>
      </c>
      <c r="C2" s="22" t="s">
        <v>22</v>
      </c>
      <c r="D2" s="22" t="s">
        <v>23</v>
      </c>
      <c r="E2" s="22" t="s">
        <v>24</v>
      </c>
      <c r="G2" s="23">
        <v>0.04</v>
      </c>
      <c r="H2" s="23">
        <v>6.1499999999999999E-2</v>
      </c>
      <c r="I2" s="23">
        <v>7.1499999999999994E-2</v>
      </c>
      <c r="J2" s="23">
        <v>8.1500000000000003E-2</v>
      </c>
    </row>
    <row r="3" spans="2:14" ht="18" customHeight="1">
      <c r="B3" s="3">
        <v>111418</v>
      </c>
      <c r="C3" s="3">
        <v>177653</v>
      </c>
      <c r="D3" s="3">
        <v>101554</v>
      </c>
      <c r="E3" s="3">
        <v>6000</v>
      </c>
      <c r="F3" s="3"/>
      <c r="G3" s="4" t="str">
        <f>IF(COUNTIF(B:B,'利益計算表(新)'!$E$7),"○","☓")</f>
        <v>☓</v>
      </c>
      <c r="H3" s="4" t="str">
        <f>IF(COUNTIF(C:C,'利益計算表(新)'!$E$7),"○","☓")</f>
        <v>☓</v>
      </c>
      <c r="I3" s="4" t="str">
        <f>IF(COUNTIF(D:D,'利益計算表(新)'!$E$7),"○","☓")</f>
        <v>☓</v>
      </c>
      <c r="J3" s="4" t="str">
        <f>IF(COUNTIF(E:E,'利益計算表(新)'!$E$7),"○","☓")</f>
        <v>☓</v>
      </c>
      <c r="L3" s="34" t="s">
        <v>78</v>
      </c>
      <c r="M3" s="1" t="s">
        <v>68</v>
      </c>
      <c r="N3" s="34" t="s">
        <v>79</v>
      </c>
    </row>
    <row r="4" spans="2:14" ht="18" customHeight="1">
      <c r="B4" s="3">
        <v>179</v>
      </c>
      <c r="C4" s="3">
        <v>39489</v>
      </c>
      <c r="D4" s="3">
        <v>179014</v>
      </c>
      <c r="E4" s="3">
        <v>6001</v>
      </c>
      <c r="G4" s="2"/>
      <c r="H4" s="2"/>
      <c r="I4" s="2"/>
    </row>
    <row r="5" spans="2:14" ht="18" customHeight="1">
      <c r="B5" s="3">
        <v>171485</v>
      </c>
      <c r="C5" s="3">
        <v>3361</v>
      </c>
      <c r="D5" s="3">
        <v>75557</v>
      </c>
      <c r="E5" s="3">
        <v>5330</v>
      </c>
      <c r="G5" s="5" t="s">
        <v>2</v>
      </c>
      <c r="H5" s="5"/>
      <c r="I5" s="24">
        <f>IF(G3="○",0.04,IF(H3="○",0.0615,IF(I3="○",0.0715,IF(J3="○",0.0815,0.0915))))</f>
        <v>9.1499999999999998E-2</v>
      </c>
    </row>
    <row r="6" spans="2:14" ht="18" customHeight="1">
      <c r="B6" s="3">
        <v>111422</v>
      </c>
      <c r="C6" s="3">
        <v>177652</v>
      </c>
      <c r="D6" s="3">
        <v>41396</v>
      </c>
      <c r="E6" s="3">
        <v>5332</v>
      </c>
    </row>
    <row r="7" spans="2:14" ht="18" customHeight="1">
      <c r="B7" s="3">
        <v>177</v>
      </c>
      <c r="C7" s="3">
        <v>178906</v>
      </c>
      <c r="D7" s="3">
        <v>159943</v>
      </c>
      <c r="E7" s="3">
        <v>177667</v>
      </c>
    </row>
    <row r="8" spans="2:14" ht="18" customHeight="1">
      <c r="B8" s="3">
        <v>164</v>
      </c>
      <c r="C8" s="3">
        <v>162133</v>
      </c>
      <c r="D8" s="3">
        <v>64374</v>
      </c>
      <c r="E8" s="3">
        <v>5335</v>
      </c>
    </row>
    <row r="9" spans="2:14" ht="18" customHeight="1">
      <c r="B9" s="3">
        <v>170083</v>
      </c>
      <c r="C9" s="3">
        <v>139965</v>
      </c>
      <c r="D9" s="3">
        <v>16215</v>
      </c>
      <c r="E9" s="3">
        <v>5336</v>
      </c>
    </row>
    <row r="10" spans="2:14" ht="18" customHeight="1">
      <c r="B10" s="3">
        <v>131511</v>
      </c>
      <c r="C10" s="3">
        <v>162134</v>
      </c>
      <c r="D10" s="3">
        <v>159945</v>
      </c>
      <c r="E10" s="3">
        <v>42600</v>
      </c>
    </row>
    <row r="11" spans="2:14" ht="18" customHeight="1">
      <c r="B11" s="3">
        <v>1244</v>
      </c>
      <c r="C11" s="3">
        <v>3360</v>
      </c>
      <c r="D11" s="3">
        <v>159944</v>
      </c>
      <c r="E11" s="3">
        <v>5337</v>
      </c>
    </row>
    <row r="12" spans="2:14" ht="18" customHeight="1">
      <c r="B12" s="3">
        <v>131553</v>
      </c>
      <c r="C12" s="3">
        <v>34943</v>
      </c>
      <c r="D12" s="3">
        <v>16216</v>
      </c>
      <c r="E12" s="3">
        <v>157037</v>
      </c>
    </row>
    <row r="13" spans="2:14" ht="18" customHeight="1">
      <c r="B13" s="3">
        <v>56083</v>
      </c>
      <c r="C13" s="3">
        <v>177656</v>
      </c>
      <c r="D13" s="3">
        <v>16214</v>
      </c>
      <c r="E13" s="3">
        <v>5334</v>
      </c>
    </row>
    <row r="14" spans="2:14" ht="18" customHeight="1">
      <c r="B14" s="3">
        <v>106273</v>
      </c>
      <c r="C14" s="3">
        <v>177657</v>
      </c>
      <c r="D14" s="3">
        <v>179015</v>
      </c>
      <c r="E14" s="3">
        <v>31827</v>
      </c>
    </row>
    <row r="15" spans="2:14" ht="18" customHeight="1">
      <c r="B15" s="3">
        <v>175669</v>
      </c>
      <c r="C15" s="3">
        <v>34942</v>
      </c>
      <c r="D15" s="3">
        <v>182139</v>
      </c>
      <c r="E15" s="3">
        <v>5331</v>
      </c>
    </row>
    <row r="16" spans="2:14" ht="18" customHeight="1">
      <c r="B16" s="3">
        <v>175670</v>
      </c>
      <c r="C16" s="3">
        <v>180910</v>
      </c>
      <c r="D16" s="3">
        <v>182140</v>
      </c>
      <c r="E16" s="3">
        <v>5333</v>
      </c>
    </row>
    <row r="17" spans="2:5" ht="18" customHeight="1">
      <c r="B17" s="3">
        <v>80053</v>
      </c>
      <c r="C17" s="3">
        <v>166679</v>
      </c>
      <c r="D17" s="3">
        <v>182141</v>
      </c>
      <c r="E17" s="3">
        <v>180241</v>
      </c>
    </row>
    <row r="18" spans="2:5" ht="18" customHeight="1">
      <c r="B18" s="3">
        <v>1245</v>
      </c>
      <c r="C18" s="3">
        <v>173591</v>
      </c>
      <c r="D18" s="3">
        <v>182142</v>
      </c>
      <c r="E18" s="3">
        <v>84153</v>
      </c>
    </row>
    <row r="19" spans="2:5" ht="18" customHeight="1">
      <c r="B19" s="3">
        <v>139971</v>
      </c>
      <c r="C19" s="3">
        <v>173592</v>
      </c>
      <c r="D19" s="3">
        <v>182143</v>
      </c>
      <c r="E19" s="3">
        <v>5338</v>
      </c>
    </row>
    <row r="20" spans="2:5" ht="18" customHeight="1">
      <c r="C20" s="3">
        <v>173593</v>
      </c>
      <c r="D20" s="3">
        <v>182144</v>
      </c>
      <c r="E20" s="3">
        <v>171085</v>
      </c>
    </row>
    <row r="21" spans="2:5" ht="18" customHeight="1">
      <c r="C21" s="3">
        <v>173594</v>
      </c>
      <c r="D21" s="3">
        <v>182145</v>
      </c>
      <c r="E21" s="3">
        <v>5339</v>
      </c>
    </row>
    <row r="22" spans="2:5" ht="18" customHeight="1">
      <c r="C22" s="3">
        <v>173683</v>
      </c>
      <c r="D22" s="3">
        <v>182146</v>
      </c>
      <c r="E22" s="3">
        <v>5340</v>
      </c>
    </row>
    <row r="23" spans="2:5" ht="18" customHeight="1">
      <c r="C23" s="3">
        <v>11942</v>
      </c>
      <c r="D23" s="3">
        <v>620</v>
      </c>
      <c r="E23" s="3">
        <v>175851</v>
      </c>
    </row>
    <row r="24" spans="2:5" ht="18" customHeight="1">
      <c r="C24" s="3">
        <v>41084</v>
      </c>
      <c r="D24" s="3">
        <v>33021</v>
      </c>
      <c r="E24" s="3">
        <v>175852</v>
      </c>
    </row>
    <row r="25" spans="2:5" ht="18" customHeight="1">
      <c r="C25" s="3">
        <v>39455</v>
      </c>
      <c r="D25" s="3">
        <v>22966</v>
      </c>
      <c r="E25" s="3">
        <v>179854</v>
      </c>
    </row>
    <row r="26" spans="2:5" ht="18" customHeight="1">
      <c r="C26" s="3">
        <v>31373</v>
      </c>
      <c r="D26" s="3">
        <v>4713</v>
      </c>
      <c r="E26" s="3">
        <v>179855</v>
      </c>
    </row>
    <row r="27" spans="2:5" ht="18" customHeight="1">
      <c r="C27" s="3">
        <v>171524</v>
      </c>
      <c r="D27" s="3">
        <v>47066</v>
      </c>
      <c r="E27" s="3">
        <v>179856</v>
      </c>
    </row>
    <row r="28" spans="2:5" ht="18" customHeight="1">
      <c r="C28" s="3">
        <v>171525</v>
      </c>
      <c r="D28" s="3">
        <v>64398</v>
      </c>
      <c r="E28" s="3">
        <v>84154</v>
      </c>
    </row>
    <row r="29" spans="2:5" ht="18" customHeight="1">
      <c r="C29" s="3">
        <v>176958</v>
      </c>
      <c r="D29" s="3">
        <v>47074</v>
      </c>
      <c r="E29" s="3">
        <v>5356</v>
      </c>
    </row>
    <row r="30" spans="2:5" ht="18" customHeight="1">
      <c r="C30" s="3">
        <v>11946</v>
      </c>
      <c r="D30" s="3">
        <v>181221</v>
      </c>
      <c r="E30" s="3">
        <v>180046</v>
      </c>
    </row>
    <row r="31" spans="2:5" ht="18" customHeight="1">
      <c r="C31" s="3">
        <v>11947</v>
      </c>
      <c r="D31" s="3">
        <v>119544</v>
      </c>
      <c r="E31" s="3">
        <v>180047</v>
      </c>
    </row>
    <row r="32" spans="2:5" ht="18" customHeight="1">
      <c r="C32" s="3">
        <v>11948</v>
      </c>
      <c r="D32" s="3">
        <v>38072</v>
      </c>
      <c r="E32" s="3">
        <v>180048</v>
      </c>
    </row>
    <row r="33" spans="3:5" ht="18" customHeight="1">
      <c r="C33" s="3">
        <v>11949</v>
      </c>
      <c r="D33" s="3">
        <v>47067</v>
      </c>
      <c r="E33" s="3">
        <v>180049</v>
      </c>
    </row>
    <row r="34" spans="3:5" ht="18" customHeight="1">
      <c r="C34" s="3">
        <v>11950</v>
      </c>
      <c r="D34" s="3">
        <v>33034</v>
      </c>
      <c r="E34" s="3">
        <v>180050</v>
      </c>
    </row>
    <row r="35" spans="3:5" ht="18" customHeight="1">
      <c r="C35" s="3">
        <v>176959</v>
      </c>
      <c r="D35" s="3">
        <v>181220</v>
      </c>
      <c r="E35" s="3">
        <v>180051</v>
      </c>
    </row>
    <row r="36" spans="3:5" ht="18" customHeight="1">
      <c r="C36" s="3">
        <v>149924</v>
      </c>
      <c r="D36" s="3">
        <v>181219</v>
      </c>
      <c r="E36" s="3">
        <v>171997</v>
      </c>
    </row>
    <row r="37" spans="3:5" ht="18" customHeight="1">
      <c r="C37" s="3">
        <v>149926</v>
      </c>
      <c r="D37" s="3">
        <v>159948</v>
      </c>
      <c r="E37" s="3">
        <v>157054</v>
      </c>
    </row>
    <row r="38" spans="3:5" ht="18" customHeight="1">
      <c r="C38" s="3">
        <v>149927</v>
      </c>
      <c r="D38" s="3">
        <v>47075</v>
      </c>
      <c r="E38" s="3">
        <v>157055</v>
      </c>
    </row>
    <row r="39" spans="3:5" ht="18" customHeight="1">
      <c r="C39" s="3">
        <v>3356</v>
      </c>
      <c r="D39" s="3">
        <v>33050</v>
      </c>
      <c r="E39" s="3">
        <v>157056</v>
      </c>
    </row>
    <row r="40" spans="3:5" ht="18" customHeight="1">
      <c r="C40" s="3">
        <v>11952</v>
      </c>
      <c r="D40" s="3">
        <v>41408</v>
      </c>
      <c r="E40" s="3">
        <v>162304</v>
      </c>
    </row>
    <row r="41" spans="3:5" ht="18" customHeight="1">
      <c r="C41" s="3">
        <v>11953</v>
      </c>
      <c r="D41" s="3">
        <v>41411</v>
      </c>
      <c r="E41" s="3">
        <v>180523</v>
      </c>
    </row>
    <row r="42" spans="3:5" ht="18" customHeight="1">
      <c r="C42" s="3">
        <v>139806</v>
      </c>
      <c r="D42" s="3">
        <v>41412</v>
      </c>
      <c r="E42" s="3">
        <v>157058</v>
      </c>
    </row>
    <row r="43" spans="3:5" ht="18" customHeight="1">
      <c r="C43" s="3">
        <v>41087</v>
      </c>
      <c r="D43" s="3">
        <v>41413</v>
      </c>
      <c r="E43" s="3">
        <v>157057</v>
      </c>
    </row>
    <row r="44" spans="3:5" ht="18" customHeight="1">
      <c r="C44" s="3">
        <v>176960</v>
      </c>
      <c r="D44" s="3">
        <v>41414</v>
      </c>
      <c r="E44" s="3">
        <v>5358</v>
      </c>
    </row>
    <row r="45" spans="3:5" ht="18" customHeight="1">
      <c r="C45" s="3">
        <v>173588</v>
      </c>
      <c r="D45" s="3">
        <v>159952</v>
      </c>
      <c r="E45" s="3">
        <v>6002</v>
      </c>
    </row>
    <row r="46" spans="3:5" ht="18" customHeight="1">
      <c r="C46" s="3">
        <v>173589</v>
      </c>
      <c r="D46" s="3">
        <v>41415</v>
      </c>
      <c r="E46" s="3">
        <v>175853</v>
      </c>
    </row>
    <row r="47" spans="3:5" ht="18" customHeight="1">
      <c r="C47" s="3">
        <v>149929</v>
      </c>
      <c r="D47" s="3">
        <v>41416</v>
      </c>
      <c r="E47" s="3">
        <v>157039</v>
      </c>
    </row>
    <row r="48" spans="3:5" ht="18" customHeight="1">
      <c r="C48" s="3">
        <v>149930</v>
      </c>
      <c r="D48" s="3">
        <v>101973</v>
      </c>
      <c r="E48" s="3">
        <v>157038</v>
      </c>
    </row>
    <row r="49" spans="3:5" ht="18" customHeight="1">
      <c r="C49" s="3">
        <v>149931</v>
      </c>
      <c r="D49" s="3">
        <v>41417</v>
      </c>
      <c r="E49" s="3">
        <v>147117</v>
      </c>
    </row>
    <row r="50" spans="3:5" ht="18" customHeight="1">
      <c r="C50" s="3">
        <v>173586</v>
      </c>
      <c r="D50" s="3">
        <v>41418</v>
      </c>
      <c r="E50" s="3">
        <v>6003</v>
      </c>
    </row>
    <row r="51" spans="3:5" ht="18" customHeight="1">
      <c r="C51" s="3">
        <v>11957</v>
      </c>
      <c r="D51" s="3">
        <v>101974</v>
      </c>
      <c r="E51" s="3">
        <v>166867</v>
      </c>
    </row>
    <row r="52" spans="3:5" ht="18" customHeight="1">
      <c r="C52" s="3">
        <v>11958</v>
      </c>
      <c r="D52" s="3">
        <v>41419</v>
      </c>
      <c r="E52" s="3">
        <v>6004</v>
      </c>
    </row>
    <row r="53" spans="3:5" ht="18" customHeight="1">
      <c r="C53" s="3">
        <v>11959</v>
      </c>
      <c r="D53" s="3">
        <v>41420</v>
      </c>
      <c r="E53" s="3">
        <v>173649</v>
      </c>
    </row>
    <row r="54" spans="3:5" ht="18" customHeight="1">
      <c r="C54" s="3">
        <v>41090</v>
      </c>
      <c r="D54" s="3">
        <v>101975</v>
      </c>
      <c r="E54" s="3">
        <v>6005</v>
      </c>
    </row>
    <row r="55" spans="3:5" ht="18" customHeight="1">
      <c r="C55" s="3">
        <v>39458</v>
      </c>
      <c r="D55" s="3">
        <v>41421</v>
      </c>
      <c r="E55" s="3">
        <v>80731</v>
      </c>
    </row>
    <row r="56" spans="3:5" ht="18" customHeight="1">
      <c r="C56" s="3">
        <v>176961</v>
      </c>
      <c r="D56" s="3">
        <v>41422</v>
      </c>
      <c r="E56" s="3">
        <v>43901</v>
      </c>
    </row>
    <row r="57" spans="3:5" ht="18" customHeight="1">
      <c r="C57" s="3">
        <v>149932</v>
      </c>
      <c r="D57" s="3">
        <v>22669</v>
      </c>
      <c r="E57" s="3">
        <v>170138</v>
      </c>
    </row>
    <row r="58" spans="3:5" ht="18" customHeight="1">
      <c r="C58" s="3">
        <v>173587</v>
      </c>
      <c r="D58" s="3">
        <v>148640</v>
      </c>
      <c r="E58" s="3">
        <v>149414</v>
      </c>
    </row>
    <row r="59" spans="3:5" ht="18" customHeight="1">
      <c r="C59" s="3">
        <v>11963</v>
      </c>
      <c r="D59" s="3">
        <v>183389</v>
      </c>
      <c r="E59" s="3">
        <v>162291</v>
      </c>
    </row>
    <row r="60" spans="3:5" ht="18" customHeight="1">
      <c r="C60" s="3">
        <v>11964</v>
      </c>
      <c r="D60" s="3">
        <v>41406</v>
      </c>
      <c r="E60" s="3">
        <v>150107</v>
      </c>
    </row>
    <row r="61" spans="3:5" ht="18" customHeight="1">
      <c r="C61" s="3">
        <v>11965</v>
      </c>
      <c r="D61" s="3">
        <v>41407</v>
      </c>
      <c r="E61" s="3">
        <v>150108</v>
      </c>
    </row>
    <row r="62" spans="3:5" ht="18" customHeight="1">
      <c r="C62" s="3">
        <v>11966</v>
      </c>
      <c r="D62" s="3">
        <v>170605</v>
      </c>
      <c r="E62" s="3">
        <v>181459</v>
      </c>
    </row>
    <row r="63" spans="3:5" ht="18" customHeight="1">
      <c r="C63" s="3">
        <v>39461</v>
      </c>
      <c r="D63" s="3">
        <v>47076</v>
      </c>
      <c r="E63" s="3">
        <v>181460</v>
      </c>
    </row>
    <row r="64" spans="3:5" ht="18" customHeight="1">
      <c r="C64" s="3">
        <v>41093</v>
      </c>
      <c r="D64" s="3">
        <v>41423</v>
      </c>
      <c r="E64" s="3">
        <v>43902</v>
      </c>
    </row>
    <row r="65" spans="3:5" ht="18" customHeight="1">
      <c r="C65" s="3">
        <v>166676</v>
      </c>
      <c r="D65" s="3">
        <v>101976</v>
      </c>
      <c r="E65" s="3">
        <v>162292</v>
      </c>
    </row>
    <row r="66" spans="3:5" ht="18" customHeight="1">
      <c r="C66" s="3">
        <v>171526</v>
      </c>
      <c r="D66" s="3">
        <v>41424</v>
      </c>
      <c r="E66" s="3">
        <v>133181</v>
      </c>
    </row>
    <row r="67" spans="3:5" ht="18" customHeight="1">
      <c r="C67" s="3">
        <v>176962</v>
      </c>
      <c r="D67" s="3">
        <v>22670</v>
      </c>
      <c r="E67" s="3">
        <v>150109</v>
      </c>
    </row>
    <row r="68" spans="3:5" ht="18" customHeight="1">
      <c r="C68" s="3">
        <v>11969</v>
      </c>
      <c r="D68" s="3">
        <v>85856</v>
      </c>
      <c r="E68" s="3">
        <v>5345</v>
      </c>
    </row>
    <row r="69" spans="3:5" ht="18" customHeight="1">
      <c r="C69" s="3">
        <v>11970</v>
      </c>
      <c r="D69" s="3">
        <v>101977</v>
      </c>
      <c r="E69" s="3">
        <v>6055</v>
      </c>
    </row>
    <row r="70" spans="3:5" ht="18" customHeight="1">
      <c r="C70" s="3">
        <v>11971</v>
      </c>
      <c r="D70" s="3">
        <v>148648</v>
      </c>
      <c r="E70" s="3">
        <v>6126</v>
      </c>
    </row>
    <row r="71" spans="3:5" ht="18" customHeight="1">
      <c r="C71" s="3">
        <v>41099</v>
      </c>
      <c r="D71" s="3">
        <v>41434</v>
      </c>
      <c r="E71" s="3">
        <v>180052</v>
      </c>
    </row>
    <row r="72" spans="3:5" ht="18" customHeight="1">
      <c r="C72" s="3">
        <v>11973</v>
      </c>
      <c r="D72" s="3">
        <v>46678</v>
      </c>
      <c r="E72" s="3">
        <v>180053</v>
      </c>
    </row>
    <row r="73" spans="3:5" ht="18" customHeight="1">
      <c r="C73" s="3">
        <v>41102</v>
      </c>
      <c r="D73" s="3">
        <v>46682</v>
      </c>
      <c r="E73" s="3">
        <v>180054</v>
      </c>
    </row>
    <row r="74" spans="3:5" ht="18" customHeight="1">
      <c r="C74" s="3">
        <v>176963</v>
      </c>
      <c r="D74" s="3">
        <v>46680</v>
      </c>
      <c r="E74" s="3">
        <v>180055</v>
      </c>
    </row>
    <row r="75" spans="3:5" ht="18" customHeight="1">
      <c r="C75" s="3">
        <v>11976</v>
      </c>
      <c r="D75" s="3">
        <v>85857</v>
      </c>
      <c r="E75" s="3">
        <v>157059</v>
      </c>
    </row>
    <row r="76" spans="3:5" ht="18" customHeight="1">
      <c r="C76" s="3">
        <v>176964</v>
      </c>
      <c r="D76" s="3">
        <v>22671</v>
      </c>
      <c r="E76" s="3">
        <v>157062</v>
      </c>
    </row>
    <row r="77" spans="3:5" ht="18" customHeight="1">
      <c r="C77" s="3">
        <v>11977</v>
      </c>
      <c r="D77" s="3">
        <v>46677</v>
      </c>
      <c r="E77" s="3">
        <v>162305</v>
      </c>
    </row>
    <row r="78" spans="3:5" ht="18" customHeight="1">
      <c r="C78" s="3">
        <v>11978</v>
      </c>
      <c r="D78" s="3">
        <v>41431</v>
      </c>
      <c r="E78" s="3">
        <v>162306</v>
      </c>
    </row>
    <row r="79" spans="3:5" ht="18" customHeight="1">
      <c r="C79" s="3">
        <v>39464</v>
      </c>
      <c r="D79" s="3">
        <v>22672</v>
      </c>
      <c r="E79" s="3">
        <v>157061</v>
      </c>
    </row>
    <row r="80" spans="3:5" ht="18" customHeight="1">
      <c r="C80" s="3">
        <v>11980</v>
      </c>
      <c r="D80" s="3">
        <v>7266</v>
      </c>
      <c r="E80" s="3">
        <v>157060</v>
      </c>
    </row>
    <row r="81" spans="3:5" ht="18" customHeight="1">
      <c r="C81" s="3">
        <v>11981</v>
      </c>
      <c r="D81" s="3">
        <v>621</v>
      </c>
      <c r="E81" s="3">
        <v>179668</v>
      </c>
    </row>
    <row r="82" spans="3:5" ht="18" customHeight="1">
      <c r="C82" s="3">
        <v>11982</v>
      </c>
      <c r="D82" s="3">
        <v>41778</v>
      </c>
      <c r="E82" s="3">
        <v>171092</v>
      </c>
    </row>
    <row r="83" spans="3:5" ht="18" customHeight="1">
      <c r="C83" s="3">
        <v>11983</v>
      </c>
      <c r="D83" s="3">
        <v>41779</v>
      </c>
      <c r="E83" s="3">
        <v>157063</v>
      </c>
    </row>
    <row r="84" spans="3:5" ht="18" customHeight="1">
      <c r="C84" s="3">
        <v>159713</v>
      </c>
      <c r="D84" s="3">
        <v>38101</v>
      </c>
      <c r="E84" s="3">
        <v>6118</v>
      </c>
    </row>
    <row r="85" spans="3:5" ht="18" customHeight="1">
      <c r="C85" s="3">
        <v>176965</v>
      </c>
      <c r="D85" s="3">
        <v>117051</v>
      </c>
      <c r="E85" s="3">
        <v>6006</v>
      </c>
    </row>
    <row r="86" spans="3:5" ht="18" customHeight="1">
      <c r="C86" s="3">
        <v>528</v>
      </c>
      <c r="D86" s="3">
        <v>41782</v>
      </c>
      <c r="E86" s="3">
        <v>42601</v>
      </c>
    </row>
    <row r="87" spans="3:5" ht="18" customHeight="1">
      <c r="C87" s="3">
        <v>179531</v>
      </c>
      <c r="D87" s="3">
        <v>38102</v>
      </c>
      <c r="E87" s="3">
        <v>162293</v>
      </c>
    </row>
    <row r="88" spans="3:5" ht="18" customHeight="1">
      <c r="C88" s="3">
        <v>179532</v>
      </c>
      <c r="D88" s="3">
        <v>159982</v>
      </c>
      <c r="E88" s="3">
        <v>179857</v>
      </c>
    </row>
    <row r="89" spans="3:5" ht="18" customHeight="1">
      <c r="C89" s="3">
        <v>179533</v>
      </c>
      <c r="D89" s="3">
        <v>41788</v>
      </c>
      <c r="E89" s="3">
        <v>6007</v>
      </c>
    </row>
    <row r="90" spans="3:5" ht="18" customHeight="1">
      <c r="C90" s="3">
        <v>179534</v>
      </c>
      <c r="D90" s="3">
        <v>23308</v>
      </c>
      <c r="E90" s="3">
        <v>179858</v>
      </c>
    </row>
    <row r="91" spans="3:5" ht="18" customHeight="1">
      <c r="C91" s="3">
        <v>529</v>
      </c>
      <c r="D91" s="3">
        <v>64602</v>
      </c>
      <c r="E91" s="3">
        <v>6008</v>
      </c>
    </row>
    <row r="92" spans="3:5" ht="18" customHeight="1">
      <c r="C92" s="3">
        <v>524</v>
      </c>
      <c r="D92" s="3">
        <v>64606</v>
      </c>
      <c r="E92" s="3">
        <v>6129</v>
      </c>
    </row>
    <row r="93" spans="3:5" ht="18" customHeight="1">
      <c r="C93" s="3">
        <v>149937</v>
      </c>
      <c r="D93" s="3">
        <v>64604</v>
      </c>
      <c r="E93" s="3">
        <v>6009</v>
      </c>
    </row>
    <row r="94" spans="3:5" ht="18" customHeight="1">
      <c r="C94" s="3">
        <v>39469</v>
      </c>
      <c r="D94" s="3">
        <v>50590</v>
      </c>
      <c r="E94" s="3">
        <v>6130</v>
      </c>
    </row>
    <row r="95" spans="3:5" ht="18" customHeight="1">
      <c r="C95" s="3">
        <v>39468</v>
      </c>
      <c r="D95" s="3">
        <v>64605</v>
      </c>
      <c r="E95" s="3">
        <v>179655</v>
      </c>
    </row>
    <row r="96" spans="3:5" ht="18" customHeight="1">
      <c r="C96" s="3">
        <v>39470</v>
      </c>
      <c r="D96" s="3">
        <v>163828</v>
      </c>
      <c r="E96" s="3">
        <v>179656</v>
      </c>
    </row>
    <row r="97" spans="3:5" ht="18" customHeight="1">
      <c r="C97" s="3">
        <v>39471</v>
      </c>
      <c r="D97" s="3">
        <v>41441</v>
      </c>
      <c r="E97" s="3">
        <v>6131</v>
      </c>
    </row>
    <row r="98" spans="3:5" ht="18" customHeight="1">
      <c r="C98" s="3">
        <v>39472</v>
      </c>
      <c r="D98" s="3">
        <v>38093</v>
      </c>
      <c r="E98" s="3">
        <v>179657</v>
      </c>
    </row>
    <row r="99" spans="3:5" ht="18" customHeight="1">
      <c r="C99" s="3">
        <v>39473</v>
      </c>
      <c r="D99" s="3">
        <v>38069</v>
      </c>
      <c r="E99" s="3">
        <v>133182</v>
      </c>
    </row>
    <row r="100" spans="3:5" ht="18" customHeight="1">
      <c r="C100" s="3">
        <v>527</v>
      </c>
      <c r="D100" s="3">
        <v>38095</v>
      </c>
      <c r="E100" s="3">
        <v>133183</v>
      </c>
    </row>
    <row r="101" spans="3:5" ht="18" customHeight="1">
      <c r="C101" s="3">
        <v>526</v>
      </c>
      <c r="D101" s="3">
        <v>38096</v>
      </c>
      <c r="E101" s="3">
        <v>133184</v>
      </c>
    </row>
    <row r="102" spans="3:5" ht="18" customHeight="1">
      <c r="C102" s="3">
        <v>139962</v>
      </c>
      <c r="D102" s="3">
        <v>38097</v>
      </c>
      <c r="E102" s="3">
        <v>175854</v>
      </c>
    </row>
    <row r="103" spans="3:5" ht="18" customHeight="1">
      <c r="C103" s="3">
        <v>41109</v>
      </c>
      <c r="D103" s="3">
        <v>10175</v>
      </c>
      <c r="E103" s="3">
        <v>124116</v>
      </c>
    </row>
    <row r="104" spans="3:5" ht="18" customHeight="1">
      <c r="C104" s="3">
        <v>3358</v>
      </c>
      <c r="D104" s="3">
        <v>93771</v>
      </c>
      <c r="E104" s="3">
        <v>15282</v>
      </c>
    </row>
    <row r="105" spans="3:5" ht="18" customHeight="1">
      <c r="C105" s="3">
        <v>525</v>
      </c>
      <c r="D105" s="3">
        <v>181229</v>
      </c>
      <c r="E105" s="3">
        <v>162294</v>
      </c>
    </row>
    <row r="106" spans="3:5" ht="18" customHeight="1">
      <c r="C106" s="3">
        <v>786</v>
      </c>
      <c r="D106" s="3">
        <v>181230</v>
      </c>
      <c r="E106" s="3">
        <v>36468</v>
      </c>
    </row>
    <row r="107" spans="3:5" ht="18" customHeight="1">
      <c r="C107" s="3">
        <v>3389</v>
      </c>
      <c r="D107" s="3">
        <v>181231</v>
      </c>
      <c r="E107" s="3">
        <v>36469</v>
      </c>
    </row>
    <row r="108" spans="3:5" ht="18" customHeight="1">
      <c r="C108" s="3">
        <v>3388</v>
      </c>
      <c r="D108" s="3">
        <v>181232</v>
      </c>
      <c r="E108" s="3">
        <v>36470</v>
      </c>
    </row>
    <row r="109" spans="3:5" ht="18" customHeight="1">
      <c r="C109" s="3">
        <v>173610</v>
      </c>
      <c r="D109" s="3">
        <v>181233</v>
      </c>
      <c r="E109" s="3">
        <v>6056</v>
      </c>
    </row>
    <row r="110" spans="3:5" ht="18" customHeight="1">
      <c r="C110" s="3">
        <v>3387</v>
      </c>
      <c r="D110" s="3">
        <v>181234</v>
      </c>
      <c r="E110" s="3">
        <v>162295</v>
      </c>
    </row>
    <row r="111" spans="3:5" ht="18" customHeight="1">
      <c r="C111" s="3">
        <v>3386</v>
      </c>
      <c r="D111" s="3">
        <v>181235</v>
      </c>
      <c r="E111" s="3">
        <v>162296</v>
      </c>
    </row>
    <row r="112" spans="3:5" ht="18" customHeight="1">
      <c r="C112" s="3">
        <v>149938</v>
      </c>
      <c r="D112" s="3">
        <v>181236</v>
      </c>
      <c r="E112" s="3">
        <v>162297</v>
      </c>
    </row>
    <row r="113" spans="3:5" ht="18" customHeight="1">
      <c r="C113" s="3">
        <v>3385</v>
      </c>
      <c r="D113" s="3">
        <v>181238</v>
      </c>
      <c r="E113" s="3">
        <v>6135</v>
      </c>
    </row>
    <row r="114" spans="3:5" ht="18" customHeight="1">
      <c r="C114" s="3">
        <v>3384</v>
      </c>
      <c r="D114" s="3">
        <v>181239</v>
      </c>
      <c r="E114" s="3">
        <v>6136</v>
      </c>
    </row>
    <row r="115" spans="3:5" ht="18" customHeight="1">
      <c r="C115" s="3">
        <v>3383</v>
      </c>
      <c r="D115" s="3">
        <v>181240</v>
      </c>
      <c r="E115" s="3">
        <v>80732</v>
      </c>
    </row>
    <row r="116" spans="3:5" ht="18" customHeight="1">
      <c r="C116" s="3">
        <v>3382</v>
      </c>
      <c r="D116" s="3">
        <v>181241</v>
      </c>
      <c r="E116" s="3">
        <v>158468</v>
      </c>
    </row>
    <row r="117" spans="3:5" ht="18" customHeight="1">
      <c r="C117" s="3">
        <v>3379</v>
      </c>
      <c r="D117" s="3">
        <v>181242</v>
      </c>
      <c r="E117" s="3">
        <v>178882</v>
      </c>
    </row>
    <row r="118" spans="3:5" ht="18" customHeight="1">
      <c r="C118" s="3">
        <v>173611</v>
      </c>
      <c r="D118" s="3">
        <v>181243</v>
      </c>
      <c r="E118" s="3">
        <v>6137</v>
      </c>
    </row>
    <row r="119" spans="3:5" ht="18" customHeight="1">
      <c r="C119" s="3">
        <v>149939</v>
      </c>
      <c r="D119" s="3">
        <v>181237</v>
      </c>
      <c r="E119" s="3">
        <v>133185</v>
      </c>
    </row>
    <row r="120" spans="3:5" ht="18" customHeight="1">
      <c r="C120" s="3">
        <v>3380</v>
      </c>
      <c r="D120" s="3">
        <v>181245</v>
      </c>
      <c r="E120" s="3">
        <v>6138</v>
      </c>
    </row>
    <row r="121" spans="3:5" ht="18" customHeight="1">
      <c r="C121" s="3">
        <v>149940</v>
      </c>
      <c r="D121" s="3">
        <v>148621</v>
      </c>
      <c r="E121" s="3">
        <v>147118</v>
      </c>
    </row>
    <row r="122" spans="3:5" ht="18" customHeight="1">
      <c r="C122" s="3">
        <v>3378</v>
      </c>
      <c r="D122" s="3">
        <v>148620</v>
      </c>
      <c r="E122" s="3">
        <v>6139</v>
      </c>
    </row>
    <row r="123" spans="3:5" ht="18" customHeight="1">
      <c r="C123" s="3">
        <v>536</v>
      </c>
      <c r="D123" s="3">
        <v>47090</v>
      </c>
      <c r="E123" s="3">
        <v>150110</v>
      </c>
    </row>
    <row r="124" spans="3:5" ht="18" customHeight="1">
      <c r="C124" s="3">
        <v>4738</v>
      </c>
      <c r="D124" s="3">
        <v>39178</v>
      </c>
      <c r="E124" s="3">
        <v>6140</v>
      </c>
    </row>
    <row r="125" spans="3:5" ht="18" customHeight="1">
      <c r="C125" s="3">
        <v>3365</v>
      </c>
      <c r="D125" s="3">
        <v>41457</v>
      </c>
      <c r="E125" s="3">
        <v>6141</v>
      </c>
    </row>
    <row r="126" spans="3:5" ht="18" customHeight="1">
      <c r="C126" s="3">
        <v>4734</v>
      </c>
      <c r="D126" s="3">
        <v>181248</v>
      </c>
      <c r="E126" s="3">
        <v>80733</v>
      </c>
    </row>
    <row r="127" spans="3:5" ht="18" customHeight="1">
      <c r="C127" s="3">
        <v>4735</v>
      </c>
      <c r="D127" s="3">
        <v>41440</v>
      </c>
      <c r="E127" s="3">
        <v>6142</v>
      </c>
    </row>
    <row r="128" spans="3:5" ht="18" customHeight="1">
      <c r="C128" s="3">
        <v>3364</v>
      </c>
      <c r="D128" s="3">
        <v>181250</v>
      </c>
      <c r="E128" s="3">
        <v>6143</v>
      </c>
    </row>
    <row r="129" spans="3:5" ht="18" customHeight="1">
      <c r="C129" s="3">
        <v>532</v>
      </c>
      <c r="D129" s="3">
        <v>41458</v>
      </c>
      <c r="E129" s="3">
        <v>16124</v>
      </c>
    </row>
    <row r="130" spans="3:5" ht="18" customHeight="1">
      <c r="C130" s="3">
        <v>4740</v>
      </c>
      <c r="D130" s="3">
        <v>181251</v>
      </c>
      <c r="E130" s="3">
        <v>159599</v>
      </c>
    </row>
    <row r="131" spans="3:5" ht="18" customHeight="1">
      <c r="C131" s="3">
        <v>4741</v>
      </c>
      <c r="D131" s="3">
        <v>181253</v>
      </c>
      <c r="E131" s="3">
        <v>175855</v>
      </c>
    </row>
    <row r="132" spans="3:5" ht="18" customHeight="1">
      <c r="C132" s="3">
        <v>18470</v>
      </c>
      <c r="D132" s="3">
        <v>41449</v>
      </c>
      <c r="E132" s="3">
        <v>6144</v>
      </c>
    </row>
    <row r="133" spans="3:5" ht="18" customHeight="1">
      <c r="C133" s="3">
        <v>4739</v>
      </c>
      <c r="D133" s="3">
        <v>41450</v>
      </c>
      <c r="E133" s="3">
        <v>5347</v>
      </c>
    </row>
    <row r="134" spans="3:5" ht="18" customHeight="1">
      <c r="C134" s="3">
        <v>4737</v>
      </c>
      <c r="D134" s="3">
        <v>41451</v>
      </c>
      <c r="E134" s="3">
        <v>5349</v>
      </c>
    </row>
    <row r="135" spans="3:5" ht="18" customHeight="1">
      <c r="C135" s="3">
        <v>173685</v>
      </c>
      <c r="D135" s="3">
        <v>47089</v>
      </c>
      <c r="E135" s="3">
        <v>179658</v>
      </c>
    </row>
    <row r="136" spans="3:5" ht="18" customHeight="1">
      <c r="C136" s="3">
        <v>167157</v>
      </c>
      <c r="D136" s="3">
        <v>41452</v>
      </c>
      <c r="E136" s="3">
        <v>179859</v>
      </c>
    </row>
    <row r="137" spans="3:5" ht="18" customHeight="1">
      <c r="C137" s="3">
        <v>162142</v>
      </c>
      <c r="D137" s="3">
        <v>47579</v>
      </c>
      <c r="E137" s="3">
        <v>6145</v>
      </c>
    </row>
    <row r="138" spans="3:5" ht="18" customHeight="1">
      <c r="C138" s="3">
        <v>162143</v>
      </c>
      <c r="D138" s="3">
        <v>41453</v>
      </c>
      <c r="E138" s="3">
        <v>43903</v>
      </c>
    </row>
    <row r="139" spans="3:5" ht="18" customHeight="1">
      <c r="C139" s="3">
        <v>48024</v>
      </c>
      <c r="D139" s="3">
        <v>41456</v>
      </c>
      <c r="E139" s="3">
        <v>6146</v>
      </c>
    </row>
    <row r="140" spans="3:5" ht="18" customHeight="1">
      <c r="C140" s="3">
        <v>167156</v>
      </c>
      <c r="D140" s="3">
        <v>47084</v>
      </c>
      <c r="E140" s="3">
        <v>169319</v>
      </c>
    </row>
    <row r="141" spans="3:5" ht="18" customHeight="1">
      <c r="C141" s="3">
        <v>167158</v>
      </c>
      <c r="D141" s="3">
        <v>10173</v>
      </c>
      <c r="E141" s="3">
        <v>6147</v>
      </c>
    </row>
    <row r="142" spans="3:5" ht="18" customHeight="1">
      <c r="C142" s="3">
        <v>162145</v>
      </c>
      <c r="D142" s="3">
        <v>622</v>
      </c>
      <c r="E142" s="3">
        <v>179659</v>
      </c>
    </row>
    <row r="143" spans="3:5" ht="18" customHeight="1">
      <c r="C143" s="3">
        <v>167160</v>
      </c>
      <c r="D143" s="3">
        <v>38088</v>
      </c>
      <c r="E143" s="3">
        <v>6148</v>
      </c>
    </row>
    <row r="144" spans="3:5" ht="18" customHeight="1">
      <c r="C144" s="3">
        <v>139029</v>
      </c>
      <c r="D144" s="3">
        <v>182149</v>
      </c>
      <c r="E144" s="3">
        <v>6149</v>
      </c>
    </row>
    <row r="145" spans="3:5" ht="18" customHeight="1">
      <c r="C145" s="3">
        <v>162146</v>
      </c>
      <c r="D145" s="3">
        <v>16219</v>
      </c>
      <c r="E145" s="3">
        <v>6151</v>
      </c>
    </row>
    <row r="146" spans="3:5" ht="18" customHeight="1">
      <c r="C146" s="3">
        <v>167162</v>
      </c>
      <c r="D146" s="3">
        <v>43376</v>
      </c>
      <c r="E146" s="3">
        <v>98058</v>
      </c>
    </row>
    <row r="147" spans="3:5" ht="18" customHeight="1">
      <c r="C147" s="3">
        <v>167161</v>
      </c>
      <c r="D147" s="3">
        <v>85860</v>
      </c>
      <c r="E147" s="3">
        <v>124117</v>
      </c>
    </row>
    <row r="148" spans="3:5" ht="18" customHeight="1">
      <c r="C148" s="3">
        <v>167958</v>
      </c>
      <c r="D148" s="3">
        <v>43377</v>
      </c>
      <c r="E148" s="3">
        <v>98059</v>
      </c>
    </row>
    <row r="149" spans="3:5" ht="18" customHeight="1">
      <c r="C149" s="3">
        <v>162147</v>
      </c>
      <c r="D149" s="3">
        <v>16220</v>
      </c>
      <c r="E149" s="3">
        <v>179660</v>
      </c>
    </row>
    <row r="150" spans="3:5" ht="18" customHeight="1">
      <c r="C150" s="3">
        <v>127145</v>
      </c>
      <c r="D150" s="3">
        <v>181269</v>
      </c>
      <c r="E150" s="3">
        <v>6152</v>
      </c>
    </row>
    <row r="151" spans="3:5" ht="18" customHeight="1">
      <c r="C151" s="3">
        <v>162148</v>
      </c>
      <c r="D151" s="3">
        <v>181270</v>
      </c>
      <c r="E151" s="3">
        <v>5346</v>
      </c>
    </row>
    <row r="152" spans="3:5" ht="18" customHeight="1">
      <c r="C152" s="3">
        <v>167155</v>
      </c>
      <c r="D152" s="3">
        <v>181274</v>
      </c>
      <c r="E152" s="3">
        <v>6159</v>
      </c>
    </row>
    <row r="153" spans="3:5" ht="18" customHeight="1">
      <c r="C153" s="3">
        <v>162149</v>
      </c>
      <c r="D153" s="3">
        <v>181490</v>
      </c>
      <c r="E153" s="3">
        <v>34429</v>
      </c>
    </row>
    <row r="154" spans="3:5" ht="18" customHeight="1">
      <c r="C154" s="3">
        <v>167960</v>
      </c>
      <c r="D154" s="3">
        <v>182147</v>
      </c>
      <c r="E154" s="3">
        <v>124118</v>
      </c>
    </row>
    <row r="155" spans="3:5" ht="18" customHeight="1">
      <c r="C155" s="3">
        <v>167164</v>
      </c>
      <c r="D155" s="3">
        <v>148727</v>
      </c>
      <c r="E155" s="3">
        <v>6160</v>
      </c>
    </row>
    <row r="156" spans="3:5" ht="18" customHeight="1">
      <c r="C156" s="3">
        <v>533</v>
      </c>
      <c r="D156" s="3">
        <v>148725</v>
      </c>
      <c r="E156" s="3">
        <v>179860</v>
      </c>
    </row>
    <row r="157" spans="3:5" ht="18" customHeight="1">
      <c r="C157" s="3">
        <v>162150</v>
      </c>
      <c r="D157" s="3">
        <v>148728</v>
      </c>
      <c r="E157" s="3">
        <v>6154</v>
      </c>
    </row>
    <row r="158" spans="3:5" ht="18" customHeight="1">
      <c r="C158" s="3">
        <v>173597</v>
      </c>
      <c r="D158" s="3">
        <v>148726</v>
      </c>
      <c r="E158" s="3">
        <v>90965</v>
      </c>
    </row>
    <row r="159" spans="3:5" ht="18" customHeight="1">
      <c r="C159" s="3">
        <v>173598</v>
      </c>
      <c r="D159" s="3">
        <v>182148</v>
      </c>
      <c r="E159" s="3">
        <v>90966</v>
      </c>
    </row>
    <row r="160" spans="3:5" ht="18" customHeight="1">
      <c r="C160" s="3">
        <v>173687</v>
      </c>
      <c r="D160" s="3">
        <v>47042</v>
      </c>
      <c r="E160" s="3">
        <v>90967</v>
      </c>
    </row>
    <row r="161" spans="3:5" ht="18" customHeight="1">
      <c r="C161" s="3">
        <v>45137</v>
      </c>
      <c r="D161" s="3">
        <v>117049</v>
      </c>
      <c r="E161" s="3">
        <v>39409</v>
      </c>
    </row>
    <row r="162" spans="3:5" ht="18" customHeight="1">
      <c r="C162" s="3">
        <v>118378</v>
      </c>
      <c r="D162" s="3">
        <v>21766</v>
      </c>
      <c r="E162" s="3">
        <v>6161</v>
      </c>
    </row>
    <row r="163" spans="3:5" ht="18" customHeight="1">
      <c r="C163" s="3">
        <v>118376</v>
      </c>
      <c r="D163" s="3">
        <v>1289</v>
      </c>
      <c r="E163" s="3">
        <v>6162</v>
      </c>
    </row>
    <row r="164" spans="3:5" ht="18" customHeight="1">
      <c r="C164" s="3">
        <v>118377</v>
      </c>
      <c r="D164" s="3">
        <v>182151</v>
      </c>
      <c r="E164" s="3">
        <v>178883</v>
      </c>
    </row>
    <row r="165" spans="3:5" ht="18" customHeight="1">
      <c r="C165" s="3">
        <v>173599</v>
      </c>
      <c r="D165" s="3">
        <v>182152</v>
      </c>
      <c r="E165" s="3">
        <v>6163</v>
      </c>
    </row>
    <row r="166" spans="3:5" ht="18" customHeight="1">
      <c r="C166" s="3">
        <v>173600</v>
      </c>
      <c r="D166" s="3">
        <v>177022</v>
      </c>
      <c r="E166" s="3">
        <v>6164</v>
      </c>
    </row>
    <row r="167" spans="3:5" ht="18" customHeight="1">
      <c r="C167" s="3">
        <v>173601</v>
      </c>
      <c r="D167" s="3">
        <v>12921</v>
      </c>
      <c r="E167" s="3">
        <v>39410</v>
      </c>
    </row>
    <row r="168" spans="3:5" ht="18" customHeight="1">
      <c r="C168" s="3">
        <v>170040</v>
      </c>
      <c r="D168" s="3">
        <v>177023</v>
      </c>
      <c r="E168" s="3">
        <v>116476</v>
      </c>
    </row>
    <row r="169" spans="3:5" ht="18" customHeight="1">
      <c r="C169" s="3">
        <v>118379</v>
      </c>
      <c r="D169" s="3">
        <v>177024</v>
      </c>
      <c r="E169" s="3">
        <v>90968</v>
      </c>
    </row>
    <row r="170" spans="3:5" ht="18" customHeight="1">
      <c r="C170" s="3">
        <v>156977</v>
      </c>
      <c r="D170" s="3">
        <v>69960</v>
      </c>
      <c r="E170" s="3">
        <v>6166</v>
      </c>
    </row>
    <row r="171" spans="3:5" ht="18" customHeight="1">
      <c r="C171" s="3">
        <v>173688</v>
      </c>
      <c r="D171" s="3">
        <v>132998</v>
      </c>
      <c r="E171" s="3">
        <v>6167</v>
      </c>
    </row>
    <row r="172" spans="3:5" ht="18" customHeight="1">
      <c r="C172" s="3">
        <v>68590</v>
      </c>
      <c r="D172" s="3">
        <v>182104</v>
      </c>
      <c r="E172" s="3">
        <v>6168</v>
      </c>
    </row>
    <row r="173" spans="3:5" ht="18" customHeight="1">
      <c r="C173" s="3">
        <v>3391</v>
      </c>
      <c r="D173" s="3">
        <v>170088</v>
      </c>
      <c r="E173" s="3">
        <v>172519</v>
      </c>
    </row>
    <row r="174" spans="3:5" ht="18" customHeight="1">
      <c r="C174" s="3">
        <v>173603</v>
      </c>
      <c r="D174" s="3">
        <v>30889</v>
      </c>
      <c r="E174" s="3">
        <v>6153</v>
      </c>
    </row>
    <row r="175" spans="3:5" ht="18" customHeight="1">
      <c r="C175" s="3">
        <v>173605</v>
      </c>
      <c r="D175" s="3">
        <v>182103</v>
      </c>
      <c r="E175" s="3">
        <v>116477</v>
      </c>
    </row>
    <row r="176" spans="3:5" ht="18" customHeight="1">
      <c r="C176" s="3">
        <v>173689</v>
      </c>
      <c r="D176" s="3">
        <v>177025</v>
      </c>
      <c r="E176" s="3">
        <v>6158</v>
      </c>
    </row>
    <row r="177" spans="3:5" ht="18" customHeight="1">
      <c r="C177" s="3">
        <v>162152</v>
      </c>
      <c r="D177" s="3">
        <v>81967</v>
      </c>
      <c r="E177" s="3">
        <v>39411</v>
      </c>
    </row>
    <row r="178" spans="3:5" ht="18" customHeight="1">
      <c r="C178" s="3">
        <v>162153</v>
      </c>
      <c r="D178" s="3">
        <v>29945</v>
      </c>
      <c r="E178" s="3">
        <v>124119</v>
      </c>
    </row>
    <row r="179" spans="3:5" ht="18" customHeight="1">
      <c r="C179" s="3">
        <v>173607</v>
      </c>
      <c r="D179" s="3">
        <v>81970</v>
      </c>
      <c r="E179" s="3">
        <v>6169</v>
      </c>
    </row>
    <row r="180" spans="3:5" ht="18" customHeight="1">
      <c r="C180" s="3">
        <v>173608</v>
      </c>
      <c r="D180" s="3">
        <v>12930</v>
      </c>
      <c r="E180" s="3">
        <v>6157</v>
      </c>
    </row>
    <row r="181" spans="3:5" ht="18" customHeight="1">
      <c r="C181" s="3">
        <v>173609</v>
      </c>
      <c r="D181" s="3">
        <v>170089</v>
      </c>
      <c r="E181" s="3">
        <v>6170</v>
      </c>
    </row>
    <row r="182" spans="3:5" ht="18" customHeight="1">
      <c r="C182" s="3">
        <v>173690</v>
      </c>
      <c r="D182" s="3">
        <v>16222</v>
      </c>
      <c r="E182" s="3">
        <v>6171</v>
      </c>
    </row>
    <row r="183" spans="3:5" ht="18" customHeight="1">
      <c r="C183" s="3">
        <v>40715</v>
      </c>
      <c r="D183" s="3">
        <v>10178</v>
      </c>
      <c r="E183" s="3">
        <v>179861</v>
      </c>
    </row>
    <row r="184" spans="3:5" ht="18" customHeight="1">
      <c r="C184" s="3">
        <v>40717</v>
      </c>
      <c r="D184" s="3">
        <v>16225</v>
      </c>
      <c r="E184" s="3">
        <v>6172</v>
      </c>
    </row>
    <row r="185" spans="3:5" ht="18" customHeight="1">
      <c r="C185" s="3">
        <v>162155</v>
      </c>
      <c r="D185" s="3">
        <v>38107</v>
      </c>
      <c r="E185" s="3">
        <v>179862</v>
      </c>
    </row>
    <row r="186" spans="3:5" ht="18" customHeight="1">
      <c r="C186" s="3">
        <v>534</v>
      </c>
      <c r="D186" s="3">
        <v>16221</v>
      </c>
      <c r="E186" s="3">
        <v>13488</v>
      </c>
    </row>
    <row r="187" spans="3:5" ht="18" customHeight="1">
      <c r="C187" s="3">
        <v>3375</v>
      </c>
      <c r="D187" s="3">
        <v>181283</v>
      </c>
      <c r="E187" s="3">
        <v>13487</v>
      </c>
    </row>
    <row r="188" spans="3:5" ht="18" customHeight="1">
      <c r="C188" s="3">
        <v>3372</v>
      </c>
      <c r="D188" s="3">
        <v>10177</v>
      </c>
      <c r="E188" s="3">
        <v>90969</v>
      </c>
    </row>
    <row r="189" spans="3:5" ht="18" customHeight="1">
      <c r="C189" s="3">
        <v>170827</v>
      </c>
      <c r="D189" s="3">
        <v>101567</v>
      </c>
      <c r="E189" s="3">
        <v>90970</v>
      </c>
    </row>
    <row r="190" spans="3:5" ht="18" customHeight="1">
      <c r="C190" s="3">
        <v>3369</v>
      </c>
      <c r="D190" s="3">
        <v>181284</v>
      </c>
      <c r="E190" s="3">
        <v>175856</v>
      </c>
    </row>
    <row r="191" spans="3:5" ht="18" customHeight="1">
      <c r="C191" s="3">
        <v>3374</v>
      </c>
      <c r="D191" s="3">
        <v>181285</v>
      </c>
      <c r="E191" s="3">
        <v>178884</v>
      </c>
    </row>
    <row r="192" spans="3:5" ht="18" customHeight="1">
      <c r="C192" s="3">
        <v>3376</v>
      </c>
      <c r="D192" s="3">
        <v>16223</v>
      </c>
      <c r="E192" s="3">
        <v>180522</v>
      </c>
    </row>
    <row r="193" spans="3:5" ht="18" customHeight="1">
      <c r="C193" s="3">
        <v>535</v>
      </c>
      <c r="D193" s="3">
        <v>112676</v>
      </c>
      <c r="E193" s="3">
        <v>90971</v>
      </c>
    </row>
    <row r="194" spans="3:5" ht="18" customHeight="1">
      <c r="C194" s="3">
        <v>48026</v>
      </c>
      <c r="D194" s="3">
        <v>10179</v>
      </c>
      <c r="E194" s="3">
        <v>6155</v>
      </c>
    </row>
    <row r="195" spans="3:5" ht="18" customHeight="1">
      <c r="C195" s="3">
        <v>3392</v>
      </c>
      <c r="D195" s="3">
        <v>181286</v>
      </c>
      <c r="E195" s="3">
        <v>6156</v>
      </c>
    </row>
    <row r="196" spans="3:5" ht="18" customHeight="1">
      <c r="C196" s="3">
        <v>45143</v>
      </c>
      <c r="D196" s="3">
        <v>181287</v>
      </c>
      <c r="E196" s="3">
        <v>43904</v>
      </c>
    </row>
    <row r="197" spans="3:5" ht="18" customHeight="1">
      <c r="C197" s="3">
        <v>122491</v>
      </c>
      <c r="D197" s="3">
        <v>181288</v>
      </c>
      <c r="E197" s="3">
        <v>34430</v>
      </c>
    </row>
    <row r="198" spans="3:5" ht="18" customHeight="1">
      <c r="C198" s="3">
        <v>39479</v>
      </c>
      <c r="D198" s="3">
        <v>181289</v>
      </c>
      <c r="E198" s="3">
        <v>166650</v>
      </c>
    </row>
    <row r="199" spans="3:5" ht="18" customHeight="1">
      <c r="C199" s="3">
        <v>162180</v>
      </c>
      <c r="D199" s="3">
        <v>181290</v>
      </c>
      <c r="E199" s="3">
        <v>133186</v>
      </c>
    </row>
    <row r="200" spans="3:5" ht="18" customHeight="1">
      <c r="C200" s="3">
        <v>45149</v>
      </c>
      <c r="D200" s="3">
        <v>112677</v>
      </c>
      <c r="E200" s="3">
        <v>39412</v>
      </c>
    </row>
    <row r="201" spans="3:5" ht="18" customHeight="1">
      <c r="C201" s="3">
        <v>90641</v>
      </c>
      <c r="D201" s="3">
        <v>181291</v>
      </c>
      <c r="E201" s="3">
        <v>173650</v>
      </c>
    </row>
    <row r="202" spans="3:5" ht="18" customHeight="1">
      <c r="C202" s="3">
        <v>68588</v>
      </c>
      <c r="D202" s="3">
        <v>16224</v>
      </c>
      <c r="E202" s="3">
        <v>6173</v>
      </c>
    </row>
    <row r="203" spans="3:5" ht="18" customHeight="1">
      <c r="C203" s="3">
        <v>45150</v>
      </c>
      <c r="D203" s="3">
        <v>182163</v>
      </c>
      <c r="E203" s="3">
        <v>5348</v>
      </c>
    </row>
    <row r="204" spans="3:5" ht="18" customHeight="1">
      <c r="C204" s="3">
        <v>96810</v>
      </c>
      <c r="D204" s="3">
        <v>182164</v>
      </c>
      <c r="E204" s="3">
        <v>5351</v>
      </c>
    </row>
    <row r="205" spans="3:5" ht="18" customHeight="1">
      <c r="C205" s="3">
        <v>45151</v>
      </c>
      <c r="D205" s="3">
        <v>182165</v>
      </c>
      <c r="E205" s="3">
        <v>172520</v>
      </c>
    </row>
    <row r="206" spans="3:5" ht="18" customHeight="1">
      <c r="C206" s="3">
        <v>539</v>
      </c>
      <c r="D206" s="3">
        <v>182166</v>
      </c>
      <c r="E206" s="3">
        <v>6175</v>
      </c>
    </row>
    <row r="207" spans="3:5" ht="18" customHeight="1">
      <c r="C207" s="3">
        <v>18473</v>
      </c>
      <c r="D207" s="3">
        <v>182167</v>
      </c>
      <c r="E207" s="3">
        <v>150111</v>
      </c>
    </row>
    <row r="208" spans="3:5" ht="18" customHeight="1">
      <c r="C208" s="3">
        <v>173620</v>
      </c>
      <c r="D208" s="3">
        <v>182168</v>
      </c>
      <c r="E208" s="3">
        <v>175858</v>
      </c>
    </row>
    <row r="209" spans="3:5" ht="18" customHeight="1">
      <c r="C209" s="3">
        <v>173647</v>
      </c>
      <c r="D209" s="3">
        <v>182169</v>
      </c>
      <c r="E209" s="3">
        <v>6174</v>
      </c>
    </row>
    <row r="210" spans="3:5" ht="18" customHeight="1">
      <c r="C210" s="3">
        <v>173648</v>
      </c>
      <c r="D210" s="3">
        <v>182170</v>
      </c>
      <c r="E210" s="3">
        <v>31828</v>
      </c>
    </row>
    <row r="211" spans="3:5" ht="18" customHeight="1">
      <c r="C211" s="3">
        <v>7968</v>
      </c>
      <c r="D211" s="3">
        <v>182171</v>
      </c>
      <c r="E211" s="3">
        <v>179863</v>
      </c>
    </row>
    <row r="212" spans="3:5" ht="18" customHeight="1">
      <c r="C212" s="3">
        <v>7955</v>
      </c>
      <c r="D212" s="3">
        <v>182172</v>
      </c>
      <c r="E212" s="3">
        <v>80734</v>
      </c>
    </row>
    <row r="213" spans="3:5" ht="18" customHeight="1">
      <c r="C213" s="3">
        <v>173694</v>
      </c>
      <c r="D213" s="3">
        <v>182173</v>
      </c>
      <c r="E213" s="3">
        <v>43905</v>
      </c>
    </row>
    <row r="214" spans="3:5" ht="18" customHeight="1">
      <c r="C214" s="3">
        <v>69510</v>
      </c>
      <c r="D214" s="3">
        <v>623</v>
      </c>
      <c r="E214" s="3">
        <v>6177</v>
      </c>
    </row>
    <row r="215" spans="3:5" ht="18" customHeight="1">
      <c r="C215" s="3">
        <v>45152</v>
      </c>
      <c r="D215" s="3">
        <v>16227</v>
      </c>
      <c r="E215" s="3">
        <v>6176</v>
      </c>
    </row>
    <row r="216" spans="3:5" ht="18" customHeight="1">
      <c r="C216" s="3">
        <v>45153</v>
      </c>
      <c r="D216" s="3">
        <v>47096</v>
      </c>
      <c r="E216" s="3">
        <v>6178</v>
      </c>
    </row>
    <row r="217" spans="3:5" ht="18" customHeight="1">
      <c r="C217" s="3">
        <v>108914</v>
      </c>
      <c r="D217" s="3">
        <v>10183</v>
      </c>
      <c r="E217" s="3">
        <v>43906</v>
      </c>
    </row>
    <row r="218" spans="3:5" ht="18" customHeight="1">
      <c r="C218" s="3">
        <v>3390</v>
      </c>
      <c r="D218" s="3">
        <v>112678</v>
      </c>
      <c r="E218" s="3">
        <v>106999</v>
      </c>
    </row>
    <row r="219" spans="3:5" ht="18" customHeight="1">
      <c r="C219" s="3">
        <v>173612</v>
      </c>
      <c r="D219" s="3">
        <v>16229</v>
      </c>
      <c r="E219" s="3">
        <v>15284</v>
      </c>
    </row>
    <row r="220" spans="3:5" ht="18" customHeight="1">
      <c r="C220" s="3">
        <v>28680</v>
      </c>
      <c r="D220" s="3">
        <v>16230</v>
      </c>
      <c r="E220" s="3">
        <v>15285</v>
      </c>
    </row>
    <row r="221" spans="3:5" ht="18" customHeight="1">
      <c r="C221" s="3">
        <v>31137</v>
      </c>
      <c r="D221" s="3">
        <v>16231</v>
      </c>
      <c r="E221" s="3">
        <v>6179</v>
      </c>
    </row>
    <row r="222" spans="3:5" ht="18" customHeight="1">
      <c r="C222" s="3">
        <v>122492</v>
      </c>
      <c r="D222" s="3">
        <v>16226</v>
      </c>
      <c r="E222" s="3">
        <v>175857</v>
      </c>
    </row>
    <row r="223" spans="3:5" ht="18" customHeight="1">
      <c r="C223" s="3">
        <v>173686</v>
      </c>
      <c r="D223" s="3">
        <v>90849</v>
      </c>
      <c r="E223" s="3">
        <v>6180</v>
      </c>
    </row>
    <row r="224" spans="3:5" ht="18" customHeight="1">
      <c r="C224" s="3">
        <v>45154</v>
      </c>
      <c r="D224" s="3">
        <v>181271</v>
      </c>
      <c r="E224" s="3">
        <v>5352</v>
      </c>
    </row>
    <row r="225" spans="3:5" ht="18" customHeight="1">
      <c r="C225" s="3">
        <v>45155</v>
      </c>
      <c r="D225" s="3">
        <v>181272</v>
      </c>
      <c r="E225" s="3">
        <v>6181</v>
      </c>
    </row>
    <row r="226" spans="3:5" ht="18" customHeight="1">
      <c r="C226" s="3">
        <v>45156</v>
      </c>
      <c r="D226" s="3">
        <v>181273</v>
      </c>
      <c r="E226" s="3">
        <v>180056</v>
      </c>
    </row>
    <row r="227" spans="3:5" ht="18" customHeight="1">
      <c r="C227" s="3">
        <v>45157</v>
      </c>
      <c r="D227" s="3">
        <v>47078</v>
      </c>
      <c r="E227" s="3">
        <v>180057</v>
      </c>
    </row>
    <row r="228" spans="3:5" ht="18" customHeight="1">
      <c r="C228" s="3">
        <v>90643</v>
      </c>
      <c r="D228" s="3">
        <v>181275</v>
      </c>
      <c r="E228" s="3">
        <v>180058</v>
      </c>
    </row>
    <row r="229" spans="3:5" ht="18" customHeight="1">
      <c r="C229" s="3">
        <v>32477</v>
      </c>
      <c r="D229" s="3">
        <v>181276</v>
      </c>
      <c r="E229" s="3">
        <v>180059</v>
      </c>
    </row>
    <row r="230" spans="3:5" ht="18" customHeight="1">
      <c r="C230" s="3">
        <v>32478</v>
      </c>
      <c r="D230" s="3">
        <v>178976</v>
      </c>
      <c r="E230" s="3">
        <v>180060</v>
      </c>
    </row>
    <row r="231" spans="3:5" ht="18" customHeight="1">
      <c r="C231" s="3">
        <v>173693</v>
      </c>
      <c r="D231" s="3">
        <v>181277</v>
      </c>
      <c r="E231" s="3">
        <v>180061</v>
      </c>
    </row>
    <row r="232" spans="3:5" ht="18" customHeight="1">
      <c r="C232" s="3">
        <v>175663</v>
      </c>
      <c r="D232" s="3">
        <v>180017</v>
      </c>
      <c r="E232" s="3">
        <v>180062</v>
      </c>
    </row>
    <row r="233" spans="3:5" ht="18" customHeight="1">
      <c r="C233" s="3">
        <v>39481</v>
      </c>
      <c r="D233" s="3">
        <v>181278</v>
      </c>
      <c r="E233" s="3">
        <v>6185</v>
      </c>
    </row>
    <row r="234" spans="3:5" ht="18" customHeight="1">
      <c r="C234" s="3">
        <v>4186</v>
      </c>
      <c r="D234" s="3">
        <v>181279</v>
      </c>
      <c r="E234" s="3">
        <v>157064</v>
      </c>
    </row>
    <row r="235" spans="3:5" ht="18" customHeight="1">
      <c r="C235" s="3">
        <v>45158</v>
      </c>
      <c r="D235" s="3">
        <v>91502</v>
      </c>
      <c r="E235" s="3">
        <v>157065</v>
      </c>
    </row>
    <row r="236" spans="3:5" ht="18" customHeight="1">
      <c r="C236" s="3">
        <v>45159</v>
      </c>
      <c r="D236" s="3">
        <v>182154</v>
      </c>
      <c r="E236" s="3">
        <v>157066</v>
      </c>
    </row>
    <row r="237" spans="3:5" ht="18" customHeight="1">
      <c r="C237" s="3">
        <v>4398</v>
      </c>
      <c r="D237" s="3">
        <v>182155</v>
      </c>
      <c r="E237" s="3">
        <v>179929</v>
      </c>
    </row>
    <row r="238" spans="3:5" ht="18" customHeight="1">
      <c r="C238" s="3">
        <v>3396</v>
      </c>
      <c r="D238" s="3">
        <v>182156</v>
      </c>
      <c r="E238" s="3">
        <v>12478</v>
      </c>
    </row>
    <row r="239" spans="3:5" ht="18" customHeight="1">
      <c r="C239" s="3">
        <v>3397</v>
      </c>
      <c r="D239" s="3">
        <v>182157</v>
      </c>
      <c r="E239" s="3">
        <v>179930</v>
      </c>
    </row>
    <row r="240" spans="3:5" ht="18" customHeight="1">
      <c r="C240" s="3">
        <v>3398</v>
      </c>
      <c r="D240" s="3">
        <v>182158</v>
      </c>
      <c r="E240" s="3">
        <v>179931</v>
      </c>
    </row>
    <row r="241" spans="3:5" ht="18" customHeight="1">
      <c r="C241" s="3">
        <v>98765</v>
      </c>
      <c r="D241" s="3">
        <v>182159</v>
      </c>
      <c r="E241" s="3">
        <v>180897</v>
      </c>
    </row>
    <row r="242" spans="3:5" ht="18" customHeight="1">
      <c r="C242" s="3">
        <v>3399</v>
      </c>
      <c r="D242" s="3">
        <v>182160</v>
      </c>
      <c r="E242" s="3">
        <v>6186</v>
      </c>
    </row>
    <row r="243" spans="3:5" ht="18" customHeight="1">
      <c r="C243" s="3">
        <v>3401</v>
      </c>
      <c r="D243" s="3">
        <v>182161</v>
      </c>
      <c r="E243" s="3">
        <v>6187</v>
      </c>
    </row>
    <row r="244" spans="3:5" ht="18" customHeight="1">
      <c r="C244" s="3">
        <v>3402</v>
      </c>
      <c r="D244" s="3">
        <v>624</v>
      </c>
      <c r="E244" s="3">
        <v>6188</v>
      </c>
    </row>
    <row r="245" spans="3:5" ht="18" customHeight="1">
      <c r="C245" s="3">
        <v>3404</v>
      </c>
      <c r="D245" s="3">
        <v>106454</v>
      </c>
      <c r="E245" s="3">
        <v>179864</v>
      </c>
    </row>
    <row r="246" spans="3:5" ht="18" customHeight="1">
      <c r="C246" s="3">
        <v>3405</v>
      </c>
      <c r="D246" s="3">
        <v>39179</v>
      </c>
      <c r="E246" s="3">
        <v>179865</v>
      </c>
    </row>
    <row r="247" spans="3:5" ht="18" customHeight="1">
      <c r="C247" s="3">
        <v>3406</v>
      </c>
      <c r="D247" s="3">
        <v>41404</v>
      </c>
      <c r="E247" s="3">
        <v>179866</v>
      </c>
    </row>
    <row r="248" spans="3:5" ht="18" customHeight="1">
      <c r="C248" s="3">
        <v>122480</v>
      </c>
      <c r="D248" s="3">
        <v>101555</v>
      </c>
      <c r="E248" s="3">
        <v>180895</v>
      </c>
    </row>
    <row r="249" spans="3:5" ht="18" customHeight="1">
      <c r="C249" s="3">
        <v>3408</v>
      </c>
      <c r="D249" s="3">
        <v>64388</v>
      </c>
      <c r="E249" s="3">
        <v>31830</v>
      </c>
    </row>
    <row r="250" spans="3:5" ht="18" customHeight="1">
      <c r="C250" s="3">
        <v>58529</v>
      </c>
      <c r="D250" s="3">
        <v>1288</v>
      </c>
      <c r="E250" s="3">
        <v>6190</v>
      </c>
    </row>
    <row r="251" spans="3:5" ht="18" customHeight="1">
      <c r="C251" s="3">
        <v>141146</v>
      </c>
      <c r="D251" s="3">
        <v>181158</v>
      </c>
      <c r="E251" s="3">
        <v>6191</v>
      </c>
    </row>
    <row r="252" spans="3:5" ht="18" customHeight="1">
      <c r="C252" s="3">
        <v>141151</v>
      </c>
      <c r="D252" s="3">
        <v>181159</v>
      </c>
      <c r="E252" s="3">
        <v>43907</v>
      </c>
    </row>
    <row r="253" spans="3:5" ht="18" customHeight="1">
      <c r="C253" s="3">
        <v>93508</v>
      </c>
      <c r="D253" s="3">
        <v>159946</v>
      </c>
      <c r="E253" s="3">
        <v>140211</v>
      </c>
    </row>
    <row r="254" spans="3:5" ht="18" customHeight="1">
      <c r="C254" s="3">
        <v>538</v>
      </c>
      <c r="D254" s="3">
        <v>181156</v>
      </c>
      <c r="E254" s="3">
        <v>6193</v>
      </c>
    </row>
    <row r="255" spans="3:5" ht="18" customHeight="1">
      <c r="C255" s="3">
        <v>77528</v>
      </c>
      <c r="D255" s="3">
        <v>181157</v>
      </c>
      <c r="E255" s="3">
        <v>6198</v>
      </c>
    </row>
    <row r="256" spans="3:5" ht="18" customHeight="1">
      <c r="C256" s="3">
        <v>90644</v>
      </c>
      <c r="D256" s="3">
        <v>118976</v>
      </c>
      <c r="E256" s="3">
        <v>6199</v>
      </c>
    </row>
    <row r="257" spans="3:5" ht="18" customHeight="1">
      <c r="C257" s="3">
        <v>4941</v>
      </c>
      <c r="D257" s="3">
        <v>118975</v>
      </c>
      <c r="E257" s="3">
        <v>179867</v>
      </c>
    </row>
    <row r="258" spans="3:5" ht="18" customHeight="1">
      <c r="C258" s="3">
        <v>162157</v>
      </c>
      <c r="D258" s="3">
        <v>181160</v>
      </c>
      <c r="E258" s="3">
        <v>6200</v>
      </c>
    </row>
    <row r="259" spans="3:5" ht="18" customHeight="1">
      <c r="C259" s="3">
        <v>173613</v>
      </c>
      <c r="D259" s="3">
        <v>181161</v>
      </c>
      <c r="E259" s="3">
        <v>6196</v>
      </c>
    </row>
    <row r="260" spans="3:5" ht="18" customHeight="1">
      <c r="C260" s="3">
        <v>162158</v>
      </c>
      <c r="D260" s="3">
        <v>118977</v>
      </c>
      <c r="E260" s="3">
        <v>6201</v>
      </c>
    </row>
    <row r="261" spans="3:5" ht="18" customHeight="1">
      <c r="C261" s="3">
        <v>162159</v>
      </c>
      <c r="D261" s="3">
        <v>118979</v>
      </c>
      <c r="E261" s="3">
        <v>179868</v>
      </c>
    </row>
    <row r="262" spans="3:5" ht="18" customHeight="1">
      <c r="C262" s="3">
        <v>4184</v>
      </c>
      <c r="D262" s="3">
        <v>118984</v>
      </c>
      <c r="E262" s="3">
        <v>6192</v>
      </c>
    </row>
    <row r="263" spans="3:5" ht="18" customHeight="1">
      <c r="C263" s="3">
        <v>162160</v>
      </c>
      <c r="D263" s="3">
        <v>181164</v>
      </c>
      <c r="E263" s="3">
        <v>179869</v>
      </c>
    </row>
    <row r="264" spans="3:5" ht="18" customHeight="1">
      <c r="C264" s="3">
        <v>173614</v>
      </c>
      <c r="D264" s="3">
        <v>181167</v>
      </c>
      <c r="E264" s="3">
        <v>6194</v>
      </c>
    </row>
    <row r="265" spans="3:5" ht="18" customHeight="1">
      <c r="C265" s="3">
        <v>162161</v>
      </c>
      <c r="D265" s="3">
        <v>118985</v>
      </c>
      <c r="E265" s="3">
        <v>6202</v>
      </c>
    </row>
    <row r="266" spans="3:5" ht="18" customHeight="1">
      <c r="C266" s="3">
        <v>162162</v>
      </c>
      <c r="D266" s="3">
        <v>118983</v>
      </c>
      <c r="E266" s="3">
        <v>162298</v>
      </c>
    </row>
    <row r="267" spans="3:5" ht="18" customHeight="1">
      <c r="C267" s="3">
        <v>173615</v>
      </c>
      <c r="D267" s="3">
        <v>181166</v>
      </c>
      <c r="E267" s="3">
        <v>6203</v>
      </c>
    </row>
    <row r="268" spans="3:5" ht="18" customHeight="1">
      <c r="C268" s="3">
        <v>162163</v>
      </c>
      <c r="D268" s="3">
        <v>181165</v>
      </c>
      <c r="E268" s="3">
        <v>84155</v>
      </c>
    </row>
    <row r="269" spans="3:5" ht="18" customHeight="1">
      <c r="C269" s="3">
        <v>162164</v>
      </c>
      <c r="D269" s="3">
        <v>181168</v>
      </c>
      <c r="E269" s="3">
        <v>179870</v>
      </c>
    </row>
    <row r="270" spans="3:5" ht="18" customHeight="1">
      <c r="C270" s="3">
        <v>173616</v>
      </c>
      <c r="D270" s="3">
        <v>181169</v>
      </c>
      <c r="E270" s="3">
        <v>6204</v>
      </c>
    </row>
    <row r="271" spans="3:5" ht="18" customHeight="1">
      <c r="C271" s="3">
        <v>162165</v>
      </c>
      <c r="D271" s="3">
        <v>118994</v>
      </c>
      <c r="E271" s="3">
        <v>149415</v>
      </c>
    </row>
    <row r="272" spans="3:5" ht="18" customHeight="1">
      <c r="C272" s="3">
        <v>162166</v>
      </c>
      <c r="D272" s="3">
        <v>181171</v>
      </c>
      <c r="E272" s="3">
        <v>179873</v>
      </c>
    </row>
    <row r="273" spans="3:5" ht="18" customHeight="1">
      <c r="C273" s="3">
        <v>162168</v>
      </c>
      <c r="D273" s="3">
        <v>181173</v>
      </c>
      <c r="E273" s="3">
        <v>39413</v>
      </c>
    </row>
    <row r="274" spans="3:5" ht="18" customHeight="1">
      <c r="C274" s="3">
        <v>162169</v>
      </c>
      <c r="D274" s="3">
        <v>181174</v>
      </c>
      <c r="E274" s="3">
        <v>31831</v>
      </c>
    </row>
    <row r="275" spans="3:5" ht="18" customHeight="1">
      <c r="C275" s="3">
        <v>162170</v>
      </c>
      <c r="D275" s="3">
        <v>181175</v>
      </c>
      <c r="E275" s="3">
        <v>119143</v>
      </c>
    </row>
    <row r="276" spans="3:5" ht="18" customHeight="1">
      <c r="C276" s="3">
        <v>162171</v>
      </c>
      <c r="D276" s="3">
        <v>181176</v>
      </c>
      <c r="E276" s="3">
        <v>119144</v>
      </c>
    </row>
    <row r="277" spans="3:5" ht="18" customHeight="1">
      <c r="C277" s="3">
        <v>162172</v>
      </c>
      <c r="D277" s="3">
        <v>181177</v>
      </c>
      <c r="E277" s="3">
        <v>169338</v>
      </c>
    </row>
    <row r="278" spans="3:5" ht="18" customHeight="1">
      <c r="C278" s="3">
        <v>173625</v>
      </c>
      <c r="D278" s="3">
        <v>181179</v>
      </c>
      <c r="E278" s="3">
        <v>169339</v>
      </c>
    </row>
    <row r="279" spans="3:5" ht="18" customHeight="1">
      <c r="C279" s="3">
        <v>173627</v>
      </c>
      <c r="D279" s="3">
        <v>181185</v>
      </c>
      <c r="E279" s="3">
        <v>6195</v>
      </c>
    </row>
    <row r="280" spans="3:5" ht="18" customHeight="1">
      <c r="C280" s="3">
        <v>173626</v>
      </c>
      <c r="D280" s="3">
        <v>181183</v>
      </c>
      <c r="E280" s="3">
        <v>179871</v>
      </c>
    </row>
    <row r="281" spans="3:5" ht="18" customHeight="1">
      <c r="C281" s="3">
        <v>162173</v>
      </c>
      <c r="D281" s="3">
        <v>181181</v>
      </c>
      <c r="E281" s="3">
        <v>6205</v>
      </c>
    </row>
    <row r="282" spans="3:5" ht="18" customHeight="1">
      <c r="C282" s="3">
        <v>173628</v>
      </c>
      <c r="D282" s="3">
        <v>181184</v>
      </c>
      <c r="E282" s="3">
        <v>179872</v>
      </c>
    </row>
    <row r="283" spans="3:5" ht="18" customHeight="1">
      <c r="C283" s="3">
        <v>162174</v>
      </c>
      <c r="D283" s="3">
        <v>181182</v>
      </c>
      <c r="E283" s="3">
        <v>124120</v>
      </c>
    </row>
    <row r="284" spans="3:5" ht="18" customHeight="1">
      <c r="C284" s="3">
        <v>177492</v>
      </c>
      <c r="D284" s="3">
        <v>181189</v>
      </c>
      <c r="E284" s="3">
        <v>6206</v>
      </c>
    </row>
    <row r="285" spans="3:5" ht="18" customHeight="1">
      <c r="C285" s="3">
        <v>173629</v>
      </c>
      <c r="D285" s="3">
        <v>181190</v>
      </c>
      <c r="E285" s="3">
        <v>6207</v>
      </c>
    </row>
    <row r="286" spans="3:5" ht="18" customHeight="1">
      <c r="C286" s="3">
        <v>173630</v>
      </c>
      <c r="D286" s="3">
        <v>181188</v>
      </c>
      <c r="E286" s="3">
        <v>6209</v>
      </c>
    </row>
    <row r="287" spans="3:5" ht="18" customHeight="1">
      <c r="C287" s="3">
        <v>173643</v>
      </c>
      <c r="D287" s="3">
        <v>182214</v>
      </c>
      <c r="E287" s="3">
        <v>6210</v>
      </c>
    </row>
    <row r="288" spans="3:5" ht="18" customHeight="1">
      <c r="C288" s="3">
        <v>173644</v>
      </c>
      <c r="D288" s="3">
        <v>181192</v>
      </c>
      <c r="E288" s="3">
        <v>6197</v>
      </c>
    </row>
    <row r="289" spans="3:5" ht="18" customHeight="1">
      <c r="C289" s="3">
        <v>173645</v>
      </c>
      <c r="D289" s="3">
        <v>181194</v>
      </c>
      <c r="E289" s="3">
        <v>180063</v>
      </c>
    </row>
    <row r="290" spans="3:5" ht="18" customHeight="1">
      <c r="C290" s="3">
        <v>173646</v>
      </c>
      <c r="D290" s="3">
        <v>181195</v>
      </c>
      <c r="E290" s="3">
        <v>180064</v>
      </c>
    </row>
    <row r="291" spans="3:5" ht="18" customHeight="1">
      <c r="C291" s="3">
        <v>173631</v>
      </c>
      <c r="D291" s="3">
        <v>181197</v>
      </c>
      <c r="E291" s="3">
        <v>180065</v>
      </c>
    </row>
    <row r="292" spans="3:5" ht="18" customHeight="1">
      <c r="C292" s="3">
        <v>173692</v>
      </c>
      <c r="D292" s="3">
        <v>181198</v>
      </c>
      <c r="E292" s="3">
        <v>180066</v>
      </c>
    </row>
    <row r="293" spans="3:5" ht="18" customHeight="1">
      <c r="C293" s="3">
        <v>162175</v>
      </c>
      <c r="D293" s="3">
        <v>181199</v>
      </c>
      <c r="E293" s="3">
        <v>6216</v>
      </c>
    </row>
    <row r="294" spans="3:5" ht="18" customHeight="1">
      <c r="C294" s="3">
        <v>45147</v>
      </c>
      <c r="D294" s="3">
        <v>159954</v>
      </c>
      <c r="E294" s="3">
        <v>6211</v>
      </c>
    </row>
    <row r="295" spans="3:5" ht="18" customHeight="1">
      <c r="C295" s="3">
        <v>149950</v>
      </c>
      <c r="D295" s="3">
        <v>178895</v>
      </c>
      <c r="E295" s="3">
        <v>157040</v>
      </c>
    </row>
    <row r="296" spans="3:5" ht="18" customHeight="1">
      <c r="C296" s="3">
        <v>537</v>
      </c>
      <c r="D296" s="3">
        <v>181211</v>
      </c>
      <c r="E296" s="3">
        <v>157041</v>
      </c>
    </row>
    <row r="297" spans="3:5" ht="18" customHeight="1">
      <c r="C297" s="3">
        <v>45161</v>
      </c>
      <c r="D297" s="3">
        <v>181213</v>
      </c>
      <c r="E297" s="3">
        <v>157043</v>
      </c>
    </row>
    <row r="298" spans="3:5" ht="18" customHeight="1">
      <c r="C298" s="3">
        <v>45162</v>
      </c>
      <c r="D298" s="3">
        <v>182215</v>
      </c>
      <c r="E298" s="3">
        <v>157044</v>
      </c>
    </row>
    <row r="299" spans="3:5" ht="18" customHeight="1">
      <c r="C299" s="3">
        <v>45163</v>
      </c>
      <c r="D299" s="3">
        <v>181201</v>
      </c>
      <c r="E299" s="3">
        <v>84156</v>
      </c>
    </row>
    <row r="300" spans="3:5" ht="18" customHeight="1">
      <c r="C300" s="3">
        <v>162177</v>
      </c>
      <c r="D300" s="3">
        <v>181257</v>
      </c>
      <c r="E300" s="3">
        <v>157042</v>
      </c>
    </row>
    <row r="301" spans="3:5" ht="18" customHeight="1">
      <c r="C301" s="3">
        <v>149951</v>
      </c>
      <c r="D301" s="3">
        <v>181256</v>
      </c>
      <c r="E301" s="3">
        <v>157046</v>
      </c>
    </row>
    <row r="302" spans="3:5" ht="18" customHeight="1">
      <c r="C302" s="3">
        <v>149952</v>
      </c>
      <c r="D302" s="3">
        <v>181258</v>
      </c>
      <c r="E302" s="3">
        <v>171571</v>
      </c>
    </row>
    <row r="303" spans="3:5" ht="18" customHeight="1">
      <c r="C303" s="3">
        <v>162176</v>
      </c>
      <c r="D303" s="3">
        <v>119026</v>
      </c>
      <c r="E303" s="3">
        <v>157047</v>
      </c>
    </row>
    <row r="304" spans="3:5" ht="18" customHeight="1">
      <c r="C304" s="3">
        <v>45164</v>
      </c>
      <c r="D304" s="3">
        <v>181261</v>
      </c>
      <c r="E304" s="3">
        <v>157048</v>
      </c>
    </row>
    <row r="305" spans="3:5" ht="18" customHeight="1">
      <c r="C305" s="3">
        <v>162178</v>
      </c>
      <c r="D305" s="3">
        <v>181262</v>
      </c>
      <c r="E305" s="3">
        <v>170142</v>
      </c>
    </row>
    <row r="306" spans="3:5" ht="18" customHeight="1">
      <c r="C306" s="3">
        <v>162179</v>
      </c>
      <c r="D306" s="3">
        <v>119024</v>
      </c>
      <c r="E306" s="3">
        <v>170143</v>
      </c>
    </row>
    <row r="307" spans="3:5" ht="18" customHeight="1">
      <c r="C307" s="3">
        <v>542</v>
      </c>
      <c r="D307" s="3">
        <v>181263</v>
      </c>
      <c r="E307" s="3">
        <v>170144</v>
      </c>
    </row>
    <row r="308" spans="3:5" ht="18" customHeight="1">
      <c r="C308" s="3">
        <v>546</v>
      </c>
      <c r="D308" s="3">
        <v>181264</v>
      </c>
      <c r="E308" s="3">
        <v>175859</v>
      </c>
    </row>
    <row r="309" spans="3:5" ht="18" customHeight="1">
      <c r="C309" s="3">
        <v>543</v>
      </c>
      <c r="D309" s="3">
        <v>181265</v>
      </c>
      <c r="E309" s="3">
        <v>175860</v>
      </c>
    </row>
    <row r="310" spans="3:5" ht="18" customHeight="1">
      <c r="C310" s="3">
        <v>547</v>
      </c>
      <c r="D310" s="3">
        <v>119025</v>
      </c>
      <c r="E310" s="3">
        <v>175861</v>
      </c>
    </row>
    <row r="311" spans="3:5" ht="18" customHeight="1">
      <c r="C311" s="3">
        <v>545</v>
      </c>
      <c r="D311" s="3">
        <v>182217</v>
      </c>
      <c r="E311" s="3">
        <v>175862</v>
      </c>
    </row>
    <row r="312" spans="3:5" ht="18" customHeight="1">
      <c r="C312" s="3">
        <v>544</v>
      </c>
      <c r="D312" s="3">
        <v>119027</v>
      </c>
      <c r="E312" s="3">
        <v>157045</v>
      </c>
    </row>
    <row r="313" spans="3:5" ht="18" customHeight="1">
      <c r="C313" s="3">
        <v>257</v>
      </c>
      <c r="D313" s="3">
        <v>181204</v>
      </c>
      <c r="E313" s="3">
        <v>157049</v>
      </c>
    </row>
    <row r="314" spans="3:5" ht="18" customHeight="1">
      <c r="C314" s="3">
        <v>3453</v>
      </c>
      <c r="D314" s="3">
        <v>119029</v>
      </c>
      <c r="E314" s="3">
        <v>6212</v>
      </c>
    </row>
    <row r="315" spans="3:5" ht="18" customHeight="1">
      <c r="C315" s="3">
        <v>7109</v>
      </c>
      <c r="D315" s="3">
        <v>181205</v>
      </c>
      <c r="E315" s="3">
        <v>175886</v>
      </c>
    </row>
    <row r="316" spans="3:5" ht="18" customHeight="1">
      <c r="C316" s="3">
        <v>162135</v>
      </c>
      <c r="D316" s="3">
        <v>181206</v>
      </c>
      <c r="E316" s="3">
        <v>175887</v>
      </c>
    </row>
    <row r="317" spans="3:5" ht="18" customHeight="1">
      <c r="C317" s="3">
        <v>178967</v>
      </c>
      <c r="D317" s="3">
        <v>181207</v>
      </c>
      <c r="E317" s="3">
        <v>179940</v>
      </c>
    </row>
    <row r="318" spans="3:5" ht="18" customHeight="1">
      <c r="C318" s="3">
        <v>3454</v>
      </c>
      <c r="D318" s="3">
        <v>181208</v>
      </c>
      <c r="E318" s="3">
        <v>179941</v>
      </c>
    </row>
    <row r="319" spans="3:5" ht="18" customHeight="1">
      <c r="C319" s="3">
        <v>139967</v>
      </c>
      <c r="D319" s="3">
        <v>119030</v>
      </c>
      <c r="E319" s="3">
        <v>179942</v>
      </c>
    </row>
    <row r="320" spans="3:5" ht="18" customHeight="1">
      <c r="C320" s="3">
        <v>27444</v>
      </c>
      <c r="D320" s="3">
        <v>181212</v>
      </c>
      <c r="E320" s="3">
        <v>179943</v>
      </c>
    </row>
    <row r="321" spans="3:5" ht="18" customHeight="1">
      <c r="C321" s="3">
        <v>173621</v>
      </c>
      <c r="D321" s="3">
        <v>119095</v>
      </c>
      <c r="E321" s="3">
        <v>175888</v>
      </c>
    </row>
    <row r="322" spans="3:5" ht="18" customHeight="1">
      <c r="C322" s="3">
        <v>3456</v>
      </c>
      <c r="D322" s="3">
        <v>181214</v>
      </c>
      <c r="E322" s="3">
        <v>177694</v>
      </c>
    </row>
    <row r="323" spans="3:5" ht="18" customHeight="1">
      <c r="C323" s="3">
        <v>175662</v>
      </c>
      <c r="D323" s="3">
        <v>181215</v>
      </c>
      <c r="E323" s="3">
        <v>177695</v>
      </c>
    </row>
    <row r="324" spans="3:5" ht="18" customHeight="1">
      <c r="C324" s="3">
        <v>142503</v>
      </c>
      <c r="D324" s="3">
        <v>181216</v>
      </c>
      <c r="E324" s="3">
        <v>177696</v>
      </c>
    </row>
    <row r="325" spans="3:5" ht="18" customHeight="1">
      <c r="C325" s="3">
        <v>4370</v>
      </c>
      <c r="D325" s="3">
        <v>182216</v>
      </c>
      <c r="E325" s="3">
        <v>6010</v>
      </c>
    </row>
    <row r="326" spans="3:5" ht="18" customHeight="1">
      <c r="C326" s="3">
        <v>167951</v>
      </c>
      <c r="D326" s="3">
        <v>181218</v>
      </c>
      <c r="E326" s="3">
        <v>6223</v>
      </c>
    </row>
    <row r="327" spans="3:5" ht="18" customHeight="1">
      <c r="C327" s="3">
        <v>167952</v>
      </c>
      <c r="D327" s="3">
        <v>52555</v>
      </c>
      <c r="E327" s="3">
        <v>6226</v>
      </c>
    </row>
    <row r="328" spans="3:5" ht="18" customHeight="1">
      <c r="C328" s="3">
        <v>162137</v>
      </c>
      <c r="D328" s="3">
        <v>308</v>
      </c>
      <c r="E328" s="3">
        <v>6222</v>
      </c>
    </row>
    <row r="329" spans="3:5" ht="18" customHeight="1">
      <c r="C329" s="3">
        <v>3457</v>
      </c>
      <c r="E329" s="3">
        <v>50065</v>
      </c>
    </row>
    <row r="330" spans="3:5" ht="18" customHeight="1">
      <c r="C330" s="3">
        <v>3458</v>
      </c>
      <c r="E330" s="3">
        <v>177693</v>
      </c>
    </row>
    <row r="331" spans="3:5" ht="18" customHeight="1">
      <c r="C331" s="3">
        <v>3455</v>
      </c>
      <c r="E331" s="3">
        <v>31832</v>
      </c>
    </row>
    <row r="332" spans="3:5" ht="18" customHeight="1">
      <c r="C332" s="3">
        <v>162138</v>
      </c>
      <c r="E332" s="3">
        <v>6227</v>
      </c>
    </row>
    <row r="333" spans="3:5" ht="18" customHeight="1">
      <c r="C333" s="3">
        <v>3182</v>
      </c>
      <c r="E333" s="3">
        <v>150112</v>
      </c>
    </row>
    <row r="334" spans="3:5" ht="18" customHeight="1">
      <c r="C334" s="3">
        <v>259</v>
      </c>
      <c r="E334" s="3">
        <v>31833</v>
      </c>
    </row>
    <row r="335" spans="3:5" ht="18" customHeight="1">
      <c r="C335" s="3">
        <v>162140</v>
      </c>
      <c r="E335" s="3">
        <v>6229</v>
      </c>
    </row>
    <row r="336" spans="3:5" ht="18" customHeight="1">
      <c r="C336" s="3">
        <v>162139</v>
      </c>
      <c r="E336" s="3">
        <v>6224</v>
      </c>
    </row>
    <row r="337" spans="3:5" ht="18" customHeight="1">
      <c r="C337" s="3">
        <v>3413</v>
      </c>
      <c r="E337" s="3">
        <v>31834</v>
      </c>
    </row>
    <row r="338" spans="3:5" ht="18" customHeight="1">
      <c r="C338" s="3">
        <v>3414</v>
      </c>
      <c r="E338" s="3">
        <v>6011</v>
      </c>
    </row>
    <row r="339" spans="3:5" ht="18" customHeight="1">
      <c r="C339" s="3">
        <v>3415</v>
      </c>
      <c r="E339" s="3">
        <v>6012</v>
      </c>
    </row>
    <row r="340" spans="3:5" ht="18" customHeight="1">
      <c r="C340" s="3">
        <v>3416</v>
      </c>
      <c r="E340" s="3">
        <v>43908</v>
      </c>
    </row>
    <row r="341" spans="3:5" ht="18" customHeight="1">
      <c r="C341" s="3">
        <v>149943</v>
      </c>
      <c r="E341" s="3">
        <v>43909</v>
      </c>
    </row>
    <row r="342" spans="3:5" ht="18" customHeight="1">
      <c r="C342" s="3">
        <v>149944</v>
      </c>
      <c r="E342" s="3">
        <v>39414</v>
      </c>
    </row>
    <row r="343" spans="3:5" ht="18" customHeight="1">
      <c r="C343" s="3">
        <v>149945</v>
      </c>
      <c r="E343" s="3">
        <v>6219</v>
      </c>
    </row>
    <row r="344" spans="3:5" ht="18" customHeight="1">
      <c r="C344" s="3">
        <v>173623</v>
      </c>
      <c r="E344" s="3">
        <v>39415</v>
      </c>
    </row>
    <row r="345" spans="3:5" ht="18" customHeight="1">
      <c r="C345" s="3">
        <v>149946</v>
      </c>
      <c r="E345" s="3">
        <v>39416</v>
      </c>
    </row>
    <row r="346" spans="3:5" ht="18" customHeight="1">
      <c r="C346" s="3">
        <v>3417</v>
      </c>
      <c r="E346" s="3">
        <v>169481</v>
      </c>
    </row>
    <row r="347" spans="3:5" ht="18" customHeight="1">
      <c r="C347" s="3">
        <v>3418</v>
      </c>
      <c r="E347" s="3">
        <v>179664</v>
      </c>
    </row>
    <row r="348" spans="3:5" ht="18" customHeight="1">
      <c r="C348" s="3">
        <v>162141</v>
      </c>
      <c r="E348" s="3">
        <v>6230</v>
      </c>
    </row>
    <row r="349" spans="3:5" ht="18" customHeight="1">
      <c r="C349" s="3">
        <v>40029</v>
      </c>
      <c r="E349" s="3">
        <v>6231</v>
      </c>
    </row>
    <row r="350" spans="3:5" ht="18" customHeight="1">
      <c r="C350" s="3">
        <v>40030</v>
      </c>
      <c r="E350" s="3">
        <v>6232</v>
      </c>
    </row>
    <row r="351" spans="3:5" ht="18" customHeight="1">
      <c r="C351" s="3">
        <v>40031</v>
      </c>
      <c r="E351" s="3">
        <v>179874</v>
      </c>
    </row>
    <row r="352" spans="3:5" ht="18" customHeight="1">
      <c r="C352" s="3">
        <v>40032</v>
      </c>
      <c r="E352" s="3">
        <v>171086</v>
      </c>
    </row>
    <row r="353" spans="3:5" ht="18" customHeight="1">
      <c r="C353" s="3">
        <v>40033</v>
      </c>
      <c r="E353" s="3">
        <v>133211</v>
      </c>
    </row>
    <row r="354" spans="3:5" ht="18" customHeight="1">
      <c r="C354" s="3">
        <v>40034</v>
      </c>
      <c r="E354" s="3">
        <v>165170</v>
      </c>
    </row>
    <row r="355" spans="3:5" ht="18" customHeight="1">
      <c r="C355" s="3">
        <v>3421</v>
      </c>
      <c r="E355" s="3">
        <v>31835</v>
      </c>
    </row>
    <row r="356" spans="3:5" ht="18" customHeight="1">
      <c r="C356" s="3">
        <v>3419</v>
      </c>
      <c r="E356" s="3">
        <v>116478</v>
      </c>
    </row>
    <row r="357" spans="3:5" ht="18" customHeight="1">
      <c r="C357" s="3">
        <v>3420</v>
      </c>
      <c r="E357" s="3">
        <v>124121</v>
      </c>
    </row>
    <row r="358" spans="3:5" ht="18" customHeight="1">
      <c r="C358" s="3">
        <v>3044</v>
      </c>
      <c r="E358" s="3">
        <v>133212</v>
      </c>
    </row>
    <row r="359" spans="3:5" ht="18" customHeight="1">
      <c r="C359" s="3">
        <v>376</v>
      </c>
      <c r="E359" s="3">
        <v>6233</v>
      </c>
    </row>
    <row r="360" spans="3:5" ht="18" customHeight="1">
      <c r="C360" s="3">
        <v>162194</v>
      </c>
      <c r="E360" s="3">
        <v>179875</v>
      </c>
    </row>
    <row r="361" spans="3:5" ht="18" customHeight="1">
      <c r="C361" s="3">
        <v>167964</v>
      </c>
      <c r="E361" s="3">
        <v>6234</v>
      </c>
    </row>
    <row r="362" spans="3:5" ht="18" customHeight="1">
      <c r="C362" s="3">
        <v>162218</v>
      </c>
      <c r="E362" s="3">
        <v>6235</v>
      </c>
    </row>
    <row r="363" spans="3:5" ht="18" customHeight="1">
      <c r="C363" s="3">
        <v>162219</v>
      </c>
      <c r="E363" s="3">
        <v>179876</v>
      </c>
    </row>
    <row r="364" spans="3:5" ht="18" customHeight="1">
      <c r="C364" s="3">
        <v>162220</v>
      </c>
      <c r="E364" s="3">
        <v>6236</v>
      </c>
    </row>
    <row r="365" spans="3:5" ht="18" customHeight="1">
      <c r="C365" s="3">
        <v>167965</v>
      </c>
      <c r="E365" s="3">
        <v>6237</v>
      </c>
    </row>
    <row r="366" spans="3:5" ht="18" customHeight="1">
      <c r="C366" s="3">
        <v>162221</v>
      </c>
      <c r="E366" s="3">
        <v>6220</v>
      </c>
    </row>
    <row r="367" spans="3:5" ht="18" customHeight="1">
      <c r="C367" s="3">
        <v>162222</v>
      </c>
      <c r="E367" s="3">
        <v>5350</v>
      </c>
    </row>
    <row r="368" spans="3:5" ht="18" customHeight="1">
      <c r="C368" s="3">
        <v>167966</v>
      </c>
      <c r="E368" s="3">
        <v>6238</v>
      </c>
    </row>
    <row r="369" spans="3:5" ht="18" customHeight="1">
      <c r="C369" s="3">
        <v>167967</v>
      </c>
      <c r="E369" s="3">
        <v>124122</v>
      </c>
    </row>
    <row r="370" spans="3:5" ht="18" customHeight="1">
      <c r="C370" s="3">
        <v>162223</v>
      </c>
      <c r="E370" s="3">
        <v>6239</v>
      </c>
    </row>
    <row r="371" spans="3:5" ht="18" customHeight="1">
      <c r="C371" s="3">
        <v>167968</v>
      </c>
      <c r="E371" s="3">
        <v>6240</v>
      </c>
    </row>
    <row r="372" spans="3:5" ht="18" customHeight="1">
      <c r="C372" s="3">
        <v>167969</v>
      </c>
      <c r="E372" s="3">
        <v>31836</v>
      </c>
    </row>
    <row r="373" spans="3:5" ht="18" customHeight="1">
      <c r="C373" s="3">
        <v>167970</v>
      </c>
      <c r="E373" s="3">
        <v>170145</v>
      </c>
    </row>
    <row r="374" spans="3:5" ht="18" customHeight="1">
      <c r="C374" s="3">
        <v>162224</v>
      </c>
      <c r="E374" s="3">
        <v>175863</v>
      </c>
    </row>
    <row r="375" spans="3:5" ht="18" customHeight="1">
      <c r="C375" s="3">
        <v>162225</v>
      </c>
      <c r="E375" s="3">
        <v>6225</v>
      </c>
    </row>
    <row r="376" spans="3:5" ht="18" customHeight="1">
      <c r="C376" s="3">
        <v>162226</v>
      </c>
      <c r="E376" s="3">
        <v>6057</v>
      </c>
    </row>
    <row r="377" spans="3:5" ht="18" customHeight="1">
      <c r="C377" s="3">
        <v>167972</v>
      </c>
      <c r="E377" s="3">
        <v>6221</v>
      </c>
    </row>
    <row r="378" spans="3:5" ht="18" customHeight="1">
      <c r="C378" s="3">
        <v>162227</v>
      </c>
      <c r="E378" s="3">
        <v>180067</v>
      </c>
    </row>
    <row r="379" spans="3:5" ht="18" customHeight="1">
      <c r="C379" s="3">
        <v>167973</v>
      </c>
      <c r="E379" s="3">
        <v>180068</v>
      </c>
    </row>
    <row r="380" spans="3:5" ht="18" customHeight="1">
      <c r="C380" s="3">
        <v>162228</v>
      </c>
      <c r="E380" s="3">
        <v>180069</v>
      </c>
    </row>
    <row r="381" spans="3:5" ht="18" customHeight="1">
      <c r="C381" s="3">
        <v>3422</v>
      </c>
      <c r="E381" s="3">
        <v>180070</v>
      </c>
    </row>
    <row r="382" spans="3:5" ht="18" customHeight="1">
      <c r="C382" s="3">
        <v>162187</v>
      </c>
      <c r="E382" s="3">
        <v>6243</v>
      </c>
    </row>
    <row r="383" spans="3:5" ht="18" customHeight="1">
      <c r="C383" s="3">
        <v>166680</v>
      </c>
      <c r="E383" s="3">
        <v>157050</v>
      </c>
    </row>
    <row r="384" spans="3:5" ht="18" customHeight="1">
      <c r="C384" s="3">
        <v>3432</v>
      </c>
      <c r="E384" s="3">
        <v>157051</v>
      </c>
    </row>
    <row r="385" spans="3:5" ht="18" customHeight="1">
      <c r="C385" s="3">
        <v>166681</v>
      </c>
      <c r="E385" s="3">
        <v>43912</v>
      </c>
    </row>
    <row r="386" spans="3:5" ht="18" customHeight="1">
      <c r="C386" s="3">
        <v>48028</v>
      </c>
      <c r="E386" s="3">
        <v>6246</v>
      </c>
    </row>
    <row r="387" spans="3:5" ht="18" customHeight="1">
      <c r="C387" s="3">
        <v>166682</v>
      </c>
      <c r="E387" s="3">
        <v>31837</v>
      </c>
    </row>
    <row r="388" spans="3:5" ht="18" customHeight="1">
      <c r="C388" s="3">
        <v>48027</v>
      </c>
      <c r="E388" s="3">
        <v>6250</v>
      </c>
    </row>
    <row r="389" spans="3:5" ht="18" customHeight="1">
      <c r="C389" s="3">
        <v>3437</v>
      </c>
      <c r="E389" s="3">
        <v>6244</v>
      </c>
    </row>
    <row r="390" spans="3:5" ht="18" customHeight="1">
      <c r="C390" s="3">
        <v>162188</v>
      </c>
      <c r="E390" s="3">
        <v>90981</v>
      </c>
    </row>
    <row r="391" spans="3:5" ht="18" customHeight="1">
      <c r="C391" s="3">
        <v>162189</v>
      </c>
      <c r="E391" s="3">
        <v>90982</v>
      </c>
    </row>
    <row r="392" spans="3:5" ht="18" customHeight="1">
      <c r="C392" s="3">
        <v>162190</v>
      </c>
      <c r="E392" s="3">
        <v>31838</v>
      </c>
    </row>
    <row r="393" spans="3:5" ht="18" customHeight="1">
      <c r="C393" s="3">
        <v>162191</v>
      </c>
      <c r="E393" s="3">
        <v>6247</v>
      </c>
    </row>
    <row r="394" spans="3:5" ht="18" customHeight="1">
      <c r="C394" s="3">
        <v>162192</v>
      </c>
      <c r="E394" s="3">
        <v>170146</v>
      </c>
    </row>
    <row r="395" spans="3:5" ht="18" customHeight="1">
      <c r="C395" s="3">
        <v>166683</v>
      </c>
      <c r="E395" s="3">
        <v>6248</v>
      </c>
    </row>
    <row r="396" spans="3:5" ht="18" customHeight="1">
      <c r="C396" s="3">
        <v>162193</v>
      </c>
      <c r="E396" s="3">
        <v>179877</v>
      </c>
    </row>
    <row r="397" spans="3:5" ht="18" customHeight="1">
      <c r="C397" s="3">
        <v>166684</v>
      </c>
      <c r="E397" s="3">
        <v>6249</v>
      </c>
    </row>
    <row r="398" spans="3:5" ht="18" customHeight="1">
      <c r="C398" s="3">
        <v>48029</v>
      </c>
      <c r="E398" s="3">
        <v>6251</v>
      </c>
    </row>
    <row r="399" spans="3:5" ht="18" customHeight="1">
      <c r="C399" s="3">
        <v>4369</v>
      </c>
      <c r="E399" s="3">
        <v>6252</v>
      </c>
    </row>
    <row r="400" spans="3:5" ht="18" customHeight="1">
      <c r="C400" s="3">
        <v>3424</v>
      </c>
      <c r="E400" s="3">
        <v>6254</v>
      </c>
    </row>
    <row r="401" spans="3:5" ht="18" customHeight="1">
      <c r="C401" s="3">
        <v>162195</v>
      </c>
      <c r="E401" s="3">
        <v>171087</v>
      </c>
    </row>
    <row r="402" spans="3:5" ht="18" customHeight="1">
      <c r="C402" s="3">
        <v>3441</v>
      </c>
      <c r="E402" s="3">
        <v>178950</v>
      </c>
    </row>
    <row r="403" spans="3:5" ht="18" customHeight="1">
      <c r="C403" s="3">
        <v>45345</v>
      </c>
      <c r="E403" s="3">
        <v>6256</v>
      </c>
    </row>
    <row r="404" spans="3:5" ht="18" customHeight="1">
      <c r="C404" s="3">
        <v>122473</v>
      </c>
      <c r="E404" s="3">
        <v>16120</v>
      </c>
    </row>
    <row r="405" spans="3:5" ht="18" customHeight="1">
      <c r="C405" s="3">
        <v>58508</v>
      </c>
      <c r="E405" s="3">
        <v>6255</v>
      </c>
    </row>
    <row r="406" spans="3:5" ht="18" customHeight="1">
      <c r="C406" s="3">
        <v>162204</v>
      </c>
      <c r="E406" s="3">
        <v>172522</v>
      </c>
    </row>
    <row r="407" spans="3:5" ht="18" customHeight="1">
      <c r="C407" s="3">
        <v>58509</v>
      </c>
      <c r="E407" s="3">
        <v>179665</v>
      </c>
    </row>
    <row r="408" spans="3:5" ht="18" customHeight="1">
      <c r="C408" s="3">
        <v>90637</v>
      </c>
      <c r="E408" s="3">
        <v>6257</v>
      </c>
    </row>
    <row r="409" spans="3:5" ht="18" customHeight="1">
      <c r="C409" s="3">
        <v>162205</v>
      </c>
      <c r="E409" s="3">
        <v>80742</v>
      </c>
    </row>
    <row r="410" spans="3:5" ht="18" customHeight="1">
      <c r="C410" s="3">
        <v>96807</v>
      </c>
      <c r="E410" s="3">
        <v>149416</v>
      </c>
    </row>
    <row r="411" spans="3:5" ht="18" customHeight="1">
      <c r="C411" s="3">
        <v>67208</v>
      </c>
      <c r="E411" s="3">
        <v>182370</v>
      </c>
    </row>
    <row r="412" spans="3:5" ht="18" customHeight="1">
      <c r="C412" s="3">
        <v>90638</v>
      </c>
      <c r="E412" s="3">
        <v>31839</v>
      </c>
    </row>
    <row r="413" spans="3:5" ht="18" customHeight="1">
      <c r="C413" s="3">
        <v>96808</v>
      </c>
      <c r="E413" s="3">
        <v>6258</v>
      </c>
    </row>
    <row r="414" spans="3:5" ht="18" customHeight="1">
      <c r="C414" s="3">
        <v>90639</v>
      </c>
      <c r="E414" s="3">
        <v>31840</v>
      </c>
    </row>
    <row r="415" spans="3:5" ht="18" customHeight="1">
      <c r="C415" s="3">
        <v>3433</v>
      </c>
      <c r="E415" s="3">
        <v>80743</v>
      </c>
    </row>
    <row r="416" spans="3:5" ht="18" customHeight="1">
      <c r="C416" s="3">
        <v>3434</v>
      </c>
      <c r="E416" s="3">
        <v>6259</v>
      </c>
    </row>
    <row r="417" spans="3:5" ht="18" customHeight="1">
      <c r="C417" s="3">
        <v>141087</v>
      </c>
      <c r="E417" s="3">
        <v>119378</v>
      </c>
    </row>
    <row r="418" spans="3:5" ht="18" customHeight="1">
      <c r="C418" s="3">
        <v>58510</v>
      </c>
      <c r="E418" s="3">
        <v>6253</v>
      </c>
    </row>
    <row r="419" spans="3:5" ht="18" customHeight="1">
      <c r="C419" s="3">
        <v>67209</v>
      </c>
      <c r="E419" s="3">
        <v>6260</v>
      </c>
    </row>
    <row r="420" spans="3:5" ht="18" customHeight="1">
      <c r="C420" s="3">
        <v>108913</v>
      </c>
      <c r="E420" s="3">
        <v>5342</v>
      </c>
    </row>
    <row r="421" spans="3:5" ht="18" customHeight="1">
      <c r="C421" s="3">
        <v>3435</v>
      </c>
      <c r="E421" s="3">
        <v>5360</v>
      </c>
    </row>
    <row r="422" spans="3:5" ht="18" customHeight="1">
      <c r="C422" s="3">
        <v>58511</v>
      </c>
      <c r="E422" s="3">
        <v>43913</v>
      </c>
    </row>
    <row r="423" spans="3:5" ht="18" customHeight="1">
      <c r="C423" s="3">
        <v>58512</v>
      </c>
      <c r="E423" s="3">
        <v>124123</v>
      </c>
    </row>
    <row r="424" spans="3:5" ht="18" customHeight="1">
      <c r="C424" s="3">
        <v>90640</v>
      </c>
      <c r="E424" s="3">
        <v>166651</v>
      </c>
    </row>
    <row r="425" spans="3:5" ht="18" customHeight="1">
      <c r="C425" s="3">
        <v>58513</v>
      </c>
      <c r="E425" s="3">
        <v>116479</v>
      </c>
    </row>
    <row r="426" spans="3:5" ht="18" customHeight="1">
      <c r="C426" s="3">
        <v>58514</v>
      </c>
      <c r="E426" s="3">
        <v>6261</v>
      </c>
    </row>
    <row r="427" spans="3:5" ht="18" customHeight="1">
      <c r="C427" s="3">
        <v>67210</v>
      </c>
      <c r="E427" s="3">
        <v>80744</v>
      </c>
    </row>
    <row r="428" spans="3:5" ht="18" customHeight="1">
      <c r="C428" s="3">
        <v>3439</v>
      </c>
      <c r="E428" s="3">
        <v>140212</v>
      </c>
    </row>
    <row r="429" spans="3:5" ht="18" customHeight="1">
      <c r="C429" s="3">
        <v>58515</v>
      </c>
      <c r="E429" s="3">
        <v>80745</v>
      </c>
    </row>
    <row r="430" spans="3:5" ht="18" customHeight="1">
      <c r="C430" s="3">
        <v>3442</v>
      </c>
      <c r="E430" s="3">
        <v>168650</v>
      </c>
    </row>
    <row r="431" spans="3:5" ht="18" customHeight="1">
      <c r="C431" s="3">
        <v>69508</v>
      </c>
      <c r="E431" s="3">
        <v>172523</v>
      </c>
    </row>
    <row r="432" spans="3:5" ht="18" customHeight="1">
      <c r="C432" s="3">
        <v>69509</v>
      </c>
      <c r="E432" s="3">
        <v>179878</v>
      </c>
    </row>
    <row r="433" spans="3:5" ht="18" customHeight="1">
      <c r="C433" s="3">
        <v>47398</v>
      </c>
      <c r="E433" s="3">
        <v>162299</v>
      </c>
    </row>
    <row r="434" spans="3:5" ht="18" customHeight="1">
      <c r="C434" s="3">
        <v>162232</v>
      </c>
      <c r="E434" s="3">
        <v>80746</v>
      </c>
    </row>
    <row r="435" spans="3:5" ht="18" customHeight="1">
      <c r="C435" s="3">
        <v>67211</v>
      </c>
      <c r="E435" s="3">
        <v>179879</v>
      </c>
    </row>
    <row r="436" spans="3:5" ht="18" customHeight="1">
      <c r="C436" s="3">
        <v>3173</v>
      </c>
      <c r="E436" s="3">
        <v>80747</v>
      </c>
    </row>
    <row r="437" spans="3:5" ht="18" customHeight="1">
      <c r="C437" s="3">
        <v>162206</v>
      </c>
      <c r="E437" s="3">
        <v>80748</v>
      </c>
    </row>
    <row r="438" spans="3:5" ht="18" customHeight="1">
      <c r="C438" s="3">
        <v>162207</v>
      </c>
      <c r="E438" s="3">
        <v>140213</v>
      </c>
    </row>
    <row r="439" spans="3:5" ht="18" customHeight="1">
      <c r="C439" s="3">
        <v>162208</v>
      </c>
      <c r="E439" s="3">
        <v>175864</v>
      </c>
    </row>
    <row r="440" spans="3:5" ht="18" customHeight="1">
      <c r="C440" s="3">
        <v>3436</v>
      </c>
      <c r="E440" s="3">
        <v>168651</v>
      </c>
    </row>
    <row r="441" spans="3:5" ht="18" customHeight="1">
      <c r="C441" s="3">
        <v>162209</v>
      </c>
      <c r="E441" s="3">
        <v>179880</v>
      </c>
    </row>
    <row r="442" spans="3:5" ht="18" customHeight="1">
      <c r="C442" s="3">
        <v>162210</v>
      </c>
      <c r="E442" s="3">
        <v>179881</v>
      </c>
    </row>
    <row r="443" spans="3:5" ht="18" customHeight="1">
      <c r="C443" s="3">
        <v>162211</v>
      </c>
      <c r="E443" s="3">
        <v>6262</v>
      </c>
    </row>
    <row r="444" spans="3:5" ht="18" customHeight="1">
      <c r="C444" s="3">
        <v>162212</v>
      </c>
      <c r="E444" s="3">
        <v>6263</v>
      </c>
    </row>
    <row r="445" spans="3:5" ht="18" customHeight="1">
      <c r="C445" s="3">
        <v>162213</v>
      </c>
      <c r="E445" s="3">
        <v>158469</v>
      </c>
    </row>
    <row r="446" spans="3:5" ht="18" customHeight="1">
      <c r="C446" s="3">
        <v>162214</v>
      </c>
      <c r="E446" s="3">
        <v>80749</v>
      </c>
    </row>
    <row r="447" spans="3:5" ht="18" customHeight="1">
      <c r="C447" s="3">
        <v>162215</v>
      </c>
      <c r="E447" s="3">
        <v>31841</v>
      </c>
    </row>
    <row r="448" spans="3:5" ht="18" customHeight="1">
      <c r="C448" s="3">
        <v>162216</v>
      </c>
      <c r="E448" s="3">
        <v>179882</v>
      </c>
    </row>
    <row r="449" spans="3:5" ht="18" customHeight="1">
      <c r="C449" s="3">
        <v>162196</v>
      </c>
      <c r="E449" s="3">
        <v>179883</v>
      </c>
    </row>
    <row r="450" spans="3:5" ht="18" customHeight="1">
      <c r="C450" s="3">
        <v>162197</v>
      </c>
      <c r="E450" s="3">
        <v>31842</v>
      </c>
    </row>
    <row r="451" spans="3:5" ht="18" customHeight="1">
      <c r="C451" s="3">
        <v>162198</v>
      </c>
      <c r="E451" s="3">
        <v>179884</v>
      </c>
    </row>
    <row r="452" spans="3:5" ht="18" customHeight="1">
      <c r="C452" s="3">
        <v>3429</v>
      </c>
      <c r="E452" s="3">
        <v>31843</v>
      </c>
    </row>
    <row r="453" spans="3:5" ht="18" customHeight="1">
      <c r="C453" s="3">
        <v>27442</v>
      </c>
      <c r="E453" s="3">
        <v>178951</v>
      </c>
    </row>
    <row r="454" spans="3:5" ht="18" customHeight="1">
      <c r="C454" s="3">
        <v>3430</v>
      </c>
      <c r="E454" s="3">
        <v>171088</v>
      </c>
    </row>
    <row r="455" spans="3:5" ht="18" customHeight="1">
      <c r="C455" s="3">
        <v>3425</v>
      </c>
      <c r="E455" s="3">
        <v>179885</v>
      </c>
    </row>
    <row r="456" spans="3:5" ht="18" customHeight="1">
      <c r="C456" s="3">
        <v>162199</v>
      </c>
      <c r="E456" s="3">
        <v>179886</v>
      </c>
    </row>
    <row r="457" spans="3:5" ht="18" customHeight="1">
      <c r="C457" s="3">
        <v>162201</v>
      </c>
      <c r="E457" s="3">
        <v>179887</v>
      </c>
    </row>
    <row r="458" spans="3:5" ht="18" customHeight="1">
      <c r="C458" s="3">
        <v>162202</v>
      </c>
      <c r="E458" s="3">
        <v>6264</v>
      </c>
    </row>
    <row r="459" spans="3:5" ht="18" customHeight="1">
      <c r="C459" s="3">
        <v>3438</v>
      </c>
      <c r="E459" s="3">
        <v>178952</v>
      </c>
    </row>
    <row r="460" spans="3:5" ht="18" customHeight="1">
      <c r="C460" s="3">
        <v>162203</v>
      </c>
      <c r="E460" s="3">
        <v>178953</v>
      </c>
    </row>
    <row r="461" spans="3:5" ht="18" customHeight="1">
      <c r="C461" s="3">
        <v>3431</v>
      </c>
      <c r="E461" s="3">
        <v>178954</v>
      </c>
    </row>
    <row r="462" spans="3:5" ht="18" customHeight="1">
      <c r="C462" s="3">
        <v>3440</v>
      </c>
      <c r="E462" s="3">
        <v>31844</v>
      </c>
    </row>
    <row r="463" spans="3:5" ht="18" customHeight="1">
      <c r="C463" s="3">
        <v>3098</v>
      </c>
      <c r="E463" s="3">
        <v>178955</v>
      </c>
    </row>
    <row r="464" spans="3:5" ht="18" customHeight="1">
      <c r="C464" s="3">
        <v>385</v>
      </c>
      <c r="E464" s="3">
        <v>119147</v>
      </c>
    </row>
    <row r="465" spans="3:5" ht="18" customHeight="1">
      <c r="C465" s="3">
        <v>39475</v>
      </c>
      <c r="E465" s="3">
        <v>178956</v>
      </c>
    </row>
    <row r="466" spans="3:5" ht="18" customHeight="1">
      <c r="C466" s="3">
        <v>162234</v>
      </c>
      <c r="E466" s="3">
        <v>178957</v>
      </c>
    </row>
    <row r="467" spans="3:5" ht="18" customHeight="1">
      <c r="C467" s="3">
        <v>39477</v>
      </c>
      <c r="E467" s="3">
        <v>178958</v>
      </c>
    </row>
    <row r="468" spans="3:5" ht="18" customHeight="1">
      <c r="C468" s="3">
        <v>162235</v>
      </c>
      <c r="E468" s="3">
        <v>6265</v>
      </c>
    </row>
    <row r="469" spans="3:5" ht="18" customHeight="1">
      <c r="C469" s="3">
        <v>39476</v>
      </c>
      <c r="E469" s="3">
        <v>31845</v>
      </c>
    </row>
    <row r="470" spans="3:5" ht="18" customHeight="1">
      <c r="C470" s="3">
        <v>39478</v>
      </c>
      <c r="E470" s="3">
        <v>84157</v>
      </c>
    </row>
    <row r="471" spans="3:5" ht="18" customHeight="1">
      <c r="C471" s="3">
        <v>530</v>
      </c>
      <c r="E471" s="3">
        <v>31846</v>
      </c>
    </row>
    <row r="472" spans="3:5" ht="18" customHeight="1">
      <c r="C472" s="3">
        <v>548</v>
      </c>
      <c r="E472" s="3">
        <v>6266</v>
      </c>
    </row>
    <row r="473" spans="3:5" ht="18" customHeight="1">
      <c r="C473" s="3">
        <v>162236</v>
      </c>
      <c r="E473" s="3">
        <v>6267</v>
      </c>
    </row>
    <row r="474" spans="3:5" ht="18" customHeight="1">
      <c r="C474" s="3">
        <v>531</v>
      </c>
      <c r="E474" s="3">
        <v>170147</v>
      </c>
    </row>
    <row r="475" spans="3:5" ht="18" customHeight="1">
      <c r="C475" s="3">
        <v>3446</v>
      </c>
      <c r="E475" s="3">
        <v>179889</v>
      </c>
    </row>
    <row r="476" spans="3:5" ht="18" customHeight="1">
      <c r="C476" s="3">
        <v>3447</v>
      </c>
      <c r="E476" s="3">
        <v>179890</v>
      </c>
    </row>
    <row r="477" spans="3:5" ht="18" customHeight="1">
      <c r="C477" s="3">
        <v>162230</v>
      </c>
      <c r="E477" s="3">
        <v>175865</v>
      </c>
    </row>
    <row r="478" spans="3:5" ht="18" customHeight="1">
      <c r="C478" s="3">
        <v>162231</v>
      </c>
      <c r="E478" s="3">
        <v>179891</v>
      </c>
    </row>
    <row r="479" spans="3:5" ht="18" customHeight="1">
      <c r="C479" s="3">
        <v>168683</v>
      </c>
      <c r="E479" s="3">
        <v>6268</v>
      </c>
    </row>
    <row r="480" spans="3:5" ht="18" customHeight="1">
      <c r="C480" s="3">
        <v>168684</v>
      </c>
      <c r="E480" s="3">
        <v>179888</v>
      </c>
    </row>
    <row r="481" spans="3:5" ht="18" customHeight="1">
      <c r="C481" s="3">
        <v>3448</v>
      </c>
      <c r="E481" s="3">
        <v>6269</v>
      </c>
    </row>
    <row r="482" spans="3:5" ht="18" customHeight="1">
      <c r="C482" s="3">
        <v>3449</v>
      </c>
      <c r="E482" s="3">
        <v>6270</v>
      </c>
    </row>
    <row r="483" spans="3:5" ht="18" customHeight="1">
      <c r="C483" s="3">
        <v>3450</v>
      </c>
      <c r="E483" s="3">
        <v>6271</v>
      </c>
    </row>
    <row r="484" spans="3:5" ht="18" customHeight="1">
      <c r="C484" s="3">
        <v>168685</v>
      </c>
      <c r="E484" s="3">
        <v>6272</v>
      </c>
    </row>
    <row r="485" spans="3:5" ht="18" customHeight="1">
      <c r="C485" s="3">
        <v>162229</v>
      </c>
      <c r="E485" s="3">
        <v>6277</v>
      </c>
    </row>
    <row r="486" spans="3:5" ht="18" customHeight="1">
      <c r="C486" s="3">
        <v>3445</v>
      </c>
      <c r="E486" s="3">
        <v>181465</v>
      </c>
    </row>
    <row r="487" spans="3:5" ht="18" customHeight="1">
      <c r="C487" s="3">
        <v>3451</v>
      </c>
      <c r="E487" s="3">
        <v>6273</v>
      </c>
    </row>
    <row r="488" spans="3:5" ht="18" customHeight="1">
      <c r="C488" s="3">
        <v>168687</v>
      </c>
      <c r="E488" s="3">
        <v>162300</v>
      </c>
    </row>
    <row r="489" spans="3:5" ht="18" customHeight="1">
      <c r="C489" s="3">
        <v>168688</v>
      </c>
      <c r="E489" s="3">
        <v>171089</v>
      </c>
    </row>
    <row r="490" spans="3:5" ht="18" customHeight="1">
      <c r="C490" s="3">
        <v>59057</v>
      </c>
      <c r="E490" s="3">
        <v>6274</v>
      </c>
    </row>
    <row r="491" spans="3:5" ht="18" customHeight="1">
      <c r="C491" s="3">
        <v>59097</v>
      </c>
      <c r="E491" s="3">
        <v>31847</v>
      </c>
    </row>
    <row r="492" spans="3:5" ht="18" customHeight="1">
      <c r="C492" s="3">
        <v>59067</v>
      </c>
      <c r="E492" s="3">
        <v>179892</v>
      </c>
    </row>
    <row r="493" spans="3:5" ht="18" customHeight="1">
      <c r="C493" s="3">
        <v>72382</v>
      </c>
      <c r="E493" s="3">
        <v>31848</v>
      </c>
    </row>
    <row r="494" spans="3:5" ht="18" customHeight="1">
      <c r="C494" s="3">
        <v>258</v>
      </c>
      <c r="E494" s="3">
        <v>6275</v>
      </c>
    </row>
    <row r="495" spans="3:5" ht="18" customHeight="1">
      <c r="C495" s="3">
        <v>21094</v>
      </c>
      <c r="E495" s="3">
        <v>6276</v>
      </c>
    </row>
    <row r="496" spans="3:5" ht="18" customHeight="1">
      <c r="C496" s="3">
        <v>255</v>
      </c>
      <c r="E496" s="3">
        <v>179893</v>
      </c>
    </row>
    <row r="497" spans="3:5" ht="18" customHeight="1">
      <c r="C497" s="3">
        <v>179170</v>
      </c>
      <c r="E497" s="3">
        <v>173525</v>
      </c>
    </row>
    <row r="498" spans="3:5" ht="18" customHeight="1">
      <c r="C498" s="3">
        <v>179171</v>
      </c>
      <c r="E498" s="3">
        <v>43915</v>
      </c>
    </row>
    <row r="499" spans="3:5" ht="18" customHeight="1">
      <c r="C499" s="3">
        <v>179172</v>
      </c>
      <c r="E499" s="3">
        <v>6278</v>
      </c>
    </row>
    <row r="500" spans="3:5" ht="18" customHeight="1">
      <c r="C500" s="3">
        <v>169305</v>
      </c>
      <c r="E500" s="3">
        <v>6279</v>
      </c>
    </row>
    <row r="501" spans="3:5" ht="18" customHeight="1">
      <c r="C501" s="3">
        <v>676</v>
      </c>
      <c r="E501" s="3">
        <v>6281</v>
      </c>
    </row>
    <row r="502" spans="3:5" ht="18" customHeight="1">
      <c r="C502" s="3">
        <v>675</v>
      </c>
      <c r="E502" s="3">
        <v>6280</v>
      </c>
    </row>
    <row r="503" spans="3:5" ht="18" customHeight="1">
      <c r="C503" s="3">
        <v>3461</v>
      </c>
      <c r="E503" s="3">
        <v>173526</v>
      </c>
    </row>
    <row r="504" spans="3:5" ht="18" customHeight="1">
      <c r="C504" s="3">
        <v>679</v>
      </c>
      <c r="E504" s="3">
        <v>133213</v>
      </c>
    </row>
    <row r="505" spans="3:5" ht="18" customHeight="1">
      <c r="C505" s="3">
        <v>678</v>
      </c>
      <c r="E505" s="3">
        <v>6282</v>
      </c>
    </row>
    <row r="506" spans="3:5" ht="18" customHeight="1">
      <c r="C506" s="3">
        <v>680</v>
      </c>
      <c r="E506" s="3">
        <v>157053</v>
      </c>
    </row>
    <row r="507" spans="3:5" ht="18" customHeight="1">
      <c r="C507" s="3">
        <v>3462</v>
      </c>
      <c r="E507" s="3">
        <v>6947</v>
      </c>
    </row>
    <row r="508" spans="3:5" ht="18" customHeight="1">
      <c r="C508" s="3">
        <v>685</v>
      </c>
      <c r="E508" s="3">
        <v>43916</v>
      </c>
    </row>
    <row r="509" spans="3:5" ht="18" customHeight="1">
      <c r="C509" s="3">
        <v>691</v>
      </c>
      <c r="E509" s="3">
        <v>170271</v>
      </c>
    </row>
    <row r="510" spans="3:5" ht="18" customHeight="1">
      <c r="C510" s="3">
        <v>139771</v>
      </c>
      <c r="E510" s="3">
        <v>6283</v>
      </c>
    </row>
    <row r="511" spans="3:5" ht="18" customHeight="1">
      <c r="C511" s="3">
        <v>690</v>
      </c>
      <c r="E511" s="3">
        <v>6284</v>
      </c>
    </row>
    <row r="512" spans="3:5" ht="18" customHeight="1">
      <c r="C512" s="3">
        <v>681</v>
      </c>
      <c r="E512" s="3">
        <v>6285</v>
      </c>
    </row>
    <row r="513" spans="3:5" ht="18" customHeight="1">
      <c r="C513" s="3">
        <v>3463</v>
      </c>
      <c r="E513" s="3">
        <v>6286</v>
      </c>
    </row>
    <row r="514" spans="3:5" ht="18" customHeight="1">
      <c r="C514" s="3">
        <v>139773</v>
      </c>
      <c r="E514" s="3">
        <v>6287</v>
      </c>
    </row>
    <row r="515" spans="3:5" ht="18" customHeight="1">
      <c r="C515" s="3">
        <v>179325</v>
      </c>
      <c r="E515" s="3">
        <v>159600</v>
      </c>
    </row>
    <row r="516" spans="3:5" ht="18" customHeight="1">
      <c r="C516" s="3">
        <v>139774</v>
      </c>
      <c r="E516" s="3">
        <v>166652</v>
      </c>
    </row>
    <row r="517" spans="3:5" ht="18" customHeight="1">
      <c r="C517" s="3">
        <v>139775</v>
      </c>
      <c r="E517" s="3">
        <v>173661</v>
      </c>
    </row>
    <row r="518" spans="3:5" ht="18" customHeight="1">
      <c r="C518" s="3">
        <v>684</v>
      </c>
      <c r="E518" s="3">
        <v>170148</v>
      </c>
    </row>
    <row r="519" spans="3:5" ht="18" customHeight="1">
      <c r="C519" s="3">
        <v>3464</v>
      </c>
      <c r="E519" s="3">
        <v>162301</v>
      </c>
    </row>
    <row r="520" spans="3:5" ht="18" customHeight="1">
      <c r="C520" s="3">
        <v>139777</v>
      </c>
      <c r="E520" s="3">
        <v>133214</v>
      </c>
    </row>
    <row r="521" spans="3:5" ht="18" customHeight="1">
      <c r="C521" s="3">
        <v>139778</v>
      </c>
      <c r="E521" s="3">
        <v>170149</v>
      </c>
    </row>
    <row r="522" spans="3:5" ht="18" customHeight="1">
      <c r="C522" s="3">
        <v>139780</v>
      </c>
      <c r="E522" s="3">
        <v>107002</v>
      </c>
    </row>
    <row r="523" spans="3:5" ht="18" customHeight="1">
      <c r="C523" s="3">
        <v>139781</v>
      </c>
      <c r="E523" s="3">
        <v>107003</v>
      </c>
    </row>
    <row r="524" spans="3:5" ht="18" customHeight="1">
      <c r="C524" s="3">
        <v>139782</v>
      </c>
      <c r="E524" s="3">
        <v>133215</v>
      </c>
    </row>
    <row r="525" spans="3:5" ht="18" customHeight="1">
      <c r="C525" s="3">
        <v>139783</v>
      </c>
      <c r="E525" s="3">
        <v>170150</v>
      </c>
    </row>
    <row r="526" spans="3:5" ht="18" customHeight="1">
      <c r="C526" s="3">
        <v>139784</v>
      </c>
      <c r="E526" s="3">
        <v>133216</v>
      </c>
    </row>
    <row r="527" spans="3:5" ht="18" customHeight="1">
      <c r="C527" s="3">
        <v>687</v>
      </c>
      <c r="E527" s="3">
        <v>107001</v>
      </c>
    </row>
    <row r="528" spans="3:5" ht="18" customHeight="1">
      <c r="C528" s="3">
        <v>689</v>
      </c>
      <c r="E528" s="3">
        <v>6289</v>
      </c>
    </row>
    <row r="529" spans="3:5" ht="18" customHeight="1">
      <c r="C529" s="3">
        <v>47148</v>
      </c>
      <c r="E529" s="3">
        <v>171996</v>
      </c>
    </row>
    <row r="530" spans="3:5" ht="18" customHeight="1">
      <c r="C530" s="3">
        <v>686</v>
      </c>
      <c r="E530" s="3">
        <v>157067</v>
      </c>
    </row>
    <row r="531" spans="3:5" ht="18" customHeight="1">
      <c r="C531" s="3">
        <v>682</v>
      </c>
      <c r="E531" s="3">
        <v>175883</v>
      </c>
    </row>
    <row r="532" spans="3:5" ht="18" customHeight="1">
      <c r="C532" s="3">
        <v>50252</v>
      </c>
      <c r="E532" s="3">
        <v>175884</v>
      </c>
    </row>
    <row r="533" spans="3:5" ht="18" customHeight="1">
      <c r="C533" s="3">
        <v>688</v>
      </c>
      <c r="E533" s="3">
        <v>157068</v>
      </c>
    </row>
    <row r="534" spans="3:5" ht="18" customHeight="1">
      <c r="C534" s="3">
        <v>47149</v>
      </c>
      <c r="E534" s="3">
        <v>179932</v>
      </c>
    </row>
    <row r="535" spans="3:5" ht="18" customHeight="1">
      <c r="C535" s="3">
        <v>265</v>
      </c>
      <c r="E535" s="3">
        <v>157069</v>
      </c>
    </row>
    <row r="536" spans="3:5" ht="18" customHeight="1">
      <c r="C536" s="3">
        <v>683</v>
      </c>
      <c r="E536" s="3">
        <v>157070</v>
      </c>
    </row>
    <row r="537" spans="3:5" ht="18" customHeight="1">
      <c r="C537" s="3">
        <v>262</v>
      </c>
      <c r="E537" s="3">
        <v>6290</v>
      </c>
    </row>
    <row r="538" spans="3:5" ht="18" customHeight="1">
      <c r="C538" s="3">
        <v>47150</v>
      </c>
      <c r="E538" s="3">
        <v>180071</v>
      </c>
    </row>
    <row r="539" spans="3:5" ht="18" customHeight="1">
      <c r="C539" s="3">
        <v>3479</v>
      </c>
      <c r="E539" s="3">
        <v>180072</v>
      </c>
    </row>
    <row r="540" spans="3:5" ht="18" customHeight="1">
      <c r="C540" s="3">
        <v>47229</v>
      </c>
      <c r="E540" s="3">
        <v>180073</v>
      </c>
    </row>
    <row r="541" spans="3:5" ht="18" customHeight="1">
      <c r="C541" s="3">
        <v>3482</v>
      </c>
      <c r="E541" s="3">
        <v>6293</v>
      </c>
    </row>
    <row r="542" spans="3:5" ht="18" customHeight="1">
      <c r="C542" s="3">
        <v>47151</v>
      </c>
      <c r="E542" s="3">
        <v>31849</v>
      </c>
    </row>
    <row r="543" spans="3:5" ht="18" customHeight="1">
      <c r="C543" s="3">
        <v>168200</v>
      </c>
      <c r="E543" s="3">
        <v>6294</v>
      </c>
    </row>
    <row r="544" spans="3:5" ht="18" customHeight="1">
      <c r="C544" s="3">
        <v>3480</v>
      </c>
      <c r="E544" s="3">
        <v>175866</v>
      </c>
    </row>
    <row r="545" spans="3:5" ht="18" customHeight="1">
      <c r="C545" s="3">
        <v>7168</v>
      </c>
      <c r="E545" s="3">
        <v>107004</v>
      </c>
    </row>
    <row r="546" spans="3:5" ht="18" customHeight="1">
      <c r="C546" s="3">
        <v>3485</v>
      </c>
      <c r="E546" s="3">
        <v>162302</v>
      </c>
    </row>
    <row r="547" spans="3:5" ht="18" customHeight="1">
      <c r="C547" s="3">
        <v>3481</v>
      </c>
      <c r="E547" s="3">
        <v>124124</v>
      </c>
    </row>
    <row r="548" spans="3:5" ht="18" customHeight="1">
      <c r="C548" s="3">
        <v>3486</v>
      </c>
      <c r="E548" s="3">
        <v>170151</v>
      </c>
    </row>
    <row r="549" spans="3:5" ht="18" customHeight="1">
      <c r="C549" s="3">
        <v>3477</v>
      </c>
      <c r="E549" s="3">
        <v>6295</v>
      </c>
    </row>
    <row r="550" spans="3:5" ht="18" customHeight="1">
      <c r="C550" s="3">
        <v>65152</v>
      </c>
      <c r="E550" s="3">
        <v>162303</v>
      </c>
    </row>
    <row r="551" spans="3:5" ht="18" customHeight="1">
      <c r="C551" s="3">
        <v>3508</v>
      </c>
      <c r="E551" s="3">
        <v>6296</v>
      </c>
    </row>
    <row r="552" spans="3:5" ht="18" customHeight="1">
      <c r="C552" s="3">
        <v>3507</v>
      </c>
      <c r="E552" s="3">
        <v>6297</v>
      </c>
    </row>
    <row r="553" spans="3:5" ht="18" customHeight="1">
      <c r="C553" s="3">
        <v>3509</v>
      </c>
      <c r="E553" s="3">
        <v>173527</v>
      </c>
    </row>
    <row r="554" spans="3:5" ht="18" customHeight="1">
      <c r="C554" s="3">
        <v>3510</v>
      </c>
      <c r="E554" s="3">
        <v>175867</v>
      </c>
    </row>
    <row r="555" spans="3:5" ht="18" customHeight="1">
      <c r="C555" s="3">
        <v>23739</v>
      </c>
      <c r="E555" s="3">
        <v>6298</v>
      </c>
    </row>
    <row r="556" spans="3:5" ht="18" customHeight="1">
      <c r="C556" s="3">
        <v>65130</v>
      </c>
      <c r="E556" s="3">
        <v>179894</v>
      </c>
    </row>
    <row r="557" spans="3:5" ht="18" customHeight="1">
      <c r="C557" s="3">
        <v>65137</v>
      </c>
      <c r="E557" s="3">
        <v>6299</v>
      </c>
    </row>
    <row r="558" spans="3:5" ht="18" customHeight="1">
      <c r="C558" s="3">
        <v>65144</v>
      </c>
      <c r="E558" s="3">
        <v>43917</v>
      </c>
    </row>
    <row r="559" spans="3:5" ht="18" customHeight="1">
      <c r="C559" s="3">
        <v>65158</v>
      </c>
      <c r="E559" s="3">
        <v>170152</v>
      </c>
    </row>
    <row r="560" spans="3:5" ht="18" customHeight="1">
      <c r="C560" s="3">
        <v>65165</v>
      </c>
      <c r="E560" s="3">
        <v>43918</v>
      </c>
    </row>
    <row r="561" spans="3:5" ht="18" customHeight="1">
      <c r="C561" s="3">
        <v>3505</v>
      </c>
      <c r="E561" s="3">
        <v>14240</v>
      </c>
    </row>
    <row r="562" spans="3:5" ht="18" customHeight="1">
      <c r="C562" s="3">
        <v>101763</v>
      </c>
      <c r="E562" s="3">
        <v>13473</v>
      </c>
    </row>
    <row r="563" spans="3:5" ht="18" customHeight="1">
      <c r="C563" s="3">
        <v>65143</v>
      </c>
      <c r="E563" s="3">
        <v>181466</v>
      </c>
    </row>
    <row r="564" spans="3:5" ht="18" customHeight="1">
      <c r="C564" s="3">
        <v>65166</v>
      </c>
      <c r="E564" s="3">
        <v>181467</v>
      </c>
    </row>
    <row r="565" spans="3:5" ht="18" customHeight="1">
      <c r="C565" s="3">
        <v>3500</v>
      </c>
      <c r="E565" s="3">
        <v>181468</v>
      </c>
    </row>
    <row r="566" spans="3:5" ht="18" customHeight="1">
      <c r="C566" s="3">
        <v>65154</v>
      </c>
      <c r="E566" s="3">
        <v>13474</v>
      </c>
    </row>
    <row r="567" spans="3:5" ht="18" customHeight="1">
      <c r="C567" s="3">
        <v>179326</v>
      </c>
      <c r="E567" s="3">
        <v>6300</v>
      </c>
    </row>
    <row r="568" spans="3:5" ht="18" customHeight="1">
      <c r="C568" s="3">
        <v>127414</v>
      </c>
      <c r="E568" s="3">
        <v>6301</v>
      </c>
    </row>
    <row r="569" spans="3:5" ht="18" customHeight="1">
      <c r="C569" s="3">
        <v>166766</v>
      </c>
      <c r="E569" s="3">
        <v>6302</v>
      </c>
    </row>
    <row r="570" spans="3:5" ht="18" customHeight="1">
      <c r="C570" s="3">
        <v>166767</v>
      </c>
      <c r="E570" s="3">
        <v>107006</v>
      </c>
    </row>
    <row r="571" spans="3:5" ht="18" customHeight="1">
      <c r="C571" s="3">
        <v>166768</v>
      </c>
      <c r="E571" s="3">
        <v>179895</v>
      </c>
    </row>
    <row r="572" spans="3:5" ht="18" customHeight="1">
      <c r="C572" s="3">
        <v>166769</v>
      </c>
      <c r="E572" s="3">
        <v>6304</v>
      </c>
    </row>
    <row r="573" spans="3:5" ht="18" customHeight="1">
      <c r="C573" s="3">
        <v>179359</v>
      </c>
      <c r="E573" s="3">
        <v>31850</v>
      </c>
    </row>
    <row r="574" spans="3:5" ht="18" customHeight="1">
      <c r="C574" s="3">
        <v>127443</v>
      </c>
      <c r="E574" s="3">
        <v>6305</v>
      </c>
    </row>
    <row r="575" spans="3:5" ht="18" customHeight="1">
      <c r="C575" s="3">
        <v>179370</v>
      </c>
      <c r="E575" s="3">
        <v>166653</v>
      </c>
    </row>
    <row r="576" spans="3:5" ht="18" customHeight="1">
      <c r="C576" s="3">
        <v>127428</v>
      </c>
      <c r="E576" s="3">
        <v>170153</v>
      </c>
    </row>
    <row r="577" spans="3:5" ht="18" customHeight="1">
      <c r="C577" s="3">
        <v>166770</v>
      </c>
      <c r="E577" s="3">
        <v>158470</v>
      </c>
    </row>
    <row r="578" spans="3:5" ht="18" customHeight="1">
      <c r="C578" s="3">
        <v>179360</v>
      </c>
      <c r="E578" s="3">
        <v>150113</v>
      </c>
    </row>
    <row r="579" spans="3:5" ht="18" customHeight="1">
      <c r="C579" s="3">
        <v>127417</v>
      </c>
      <c r="E579" s="3">
        <v>6303</v>
      </c>
    </row>
    <row r="580" spans="3:5" ht="18" customHeight="1">
      <c r="C580" s="3">
        <v>179355</v>
      </c>
      <c r="E580" s="3">
        <v>31851</v>
      </c>
    </row>
    <row r="581" spans="3:5" ht="18" customHeight="1">
      <c r="C581" s="3">
        <v>179356</v>
      </c>
      <c r="E581" s="3">
        <v>6306</v>
      </c>
    </row>
    <row r="582" spans="3:5" ht="18" customHeight="1">
      <c r="C582" s="3">
        <v>179357</v>
      </c>
      <c r="E582" s="3">
        <v>116480</v>
      </c>
    </row>
    <row r="583" spans="3:5" ht="18" customHeight="1">
      <c r="C583" s="3">
        <v>166772</v>
      </c>
      <c r="E583" s="3">
        <v>116481</v>
      </c>
    </row>
    <row r="584" spans="3:5" ht="18" customHeight="1">
      <c r="C584" s="3">
        <v>127420</v>
      </c>
      <c r="E584" s="3">
        <v>116482</v>
      </c>
    </row>
    <row r="585" spans="3:5" ht="18" customHeight="1">
      <c r="C585" s="3">
        <v>179361</v>
      </c>
      <c r="E585" s="3">
        <v>171091</v>
      </c>
    </row>
    <row r="586" spans="3:5" ht="18" customHeight="1">
      <c r="C586" s="3">
        <v>179362</v>
      </c>
      <c r="E586" s="3">
        <v>150117</v>
      </c>
    </row>
    <row r="587" spans="3:5" ht="18" customHeight="1">
      <c r="C587" s="3">
        <v>127421</v>
      </c>
      <c r="E587" s="3">
        <v>175879</v>
      </c>
    </row>
    <row r="588" spans="3:5" ht="18" customHeight="1">
      <c r="C588" s="3">
        <v>179358</v>
      </c>
      <c r="E588" s="3">
        <v>6312</v>
      </c>
    </row>
    <row r="589" spans="3:5" ht="18" customHeight="1">
      <c r="C589" s="3">
        <v>127418</v>
      </c>
      <c r="E589" s="3">
        <v>162313</v>
      </c>
    </row>
    <row r="590" spans="3:5" ht="18" customHeight="1">
      <c r="C590" s="3">
        <v>179363</v>
      </c>
      <c r="E590" s="3">
        <v>170156</v>
      </c>
    </row>
    <row r="591" spans="3:5" ht="18" customHeight="1">
      <c r="C591" s="3">
        <v>166774</v>
      </c>
      <c r="E591" s="3">
        <v>179933</v>
      </c>
    </row>
    <row r="592" spans="3:5" ht="18" customHeight="1">
      <c r="C592" s="3">
        <v>166775</v>
      </c>
      <c r="E592" s="3">
        <v>170157</v>
      </c>
    </row>
    <row r="593" spans="3:5" ht="18" customHeight="1">
      <c r="C593" s="3">
        <v>166776</v>
      </c>
      <c r="E593" s="3">
        <v>162314</v>
      </c>
    </row>
    <row r="594" spans="3:5" ht="18" customHeight="1">
      <c r="C594" s="3">
        <v>127423</v>
      </c>
      <c r="E594" s="3">
        <v>162315</v>
      </c>
    </row>
    <row r="595" spans="3:5" ht="18" customHeight="1">
      <c r="C595" s="3">
        <v>179371</v>
      </c>
      <c r="E595" s="3">
        <v>171093</v>
      </c>
    </row>
    <row r="596" spans="3:5" ht="18" customHeight="1">
      <c r="C596" s="3">
        <v>166777</v>
      </c>
      <c r="E596" s="3">
        <v>6313</v>
      </c>
    </row>
    <row r="597" spans="3:5" ht="18" customHeight="1">
      <c r="C597" s="3">
        <v>127425</v>
      </c>
      <c r="E597" s="3">
        <v>162312</v>
      </c>
    </row>
    <row r="598" spans="3:5" ht="18" customHeight="1">
      <c r="C598" s="3">
        <v>127424</v>
      </c>
      <c r="E598" s="3">
        <v>6310</v>
      </c>
    </row>
    <row r="599" spans="3:5" ht="18" customHeight="1">
      <c r="C599" s="3">
        <v>127426</v>
      </c>
      <c r="E599" s="3">
        <v>6319</v>
      </c>
    </row>
    <row r="600" spans="3:5" ht="18" customHeight="1">
      <c r="C600" s="3">
        <v>179372</v>
      </c>
      <c r="E600" s="3">
        <v>6320</v>
      </c>
    </row>
    <row r="601" spans="3:5" ht="18" customHeight="1">
      <c r="C601" s="3">
        <v>166779</v>
      </c>
      <c r="E601" s="3">
        <v>6321</v>
      </c>
    </row>
    <row r="602" spans="3:5" ht="18" customHeight="1">
      <c r="C602" s="3">
        <v>179364</v>
      </c>
      <c r="E602" s="3">
        <v>6317</v>
      </c>
    </row>
    <row r="603" spans="3:5" ht="18" customHeight="1">
      <c r="C603" s="3">
        <v>179365</v>
      </c>
      <c r="E603" s="3">
        <v>180243</v>
      </c>
    </row>
    <row r="604" spans="3:5" ht="18" customHeight="1">
      <c r="C604" s="3">
        <v>179366</v>
      </c>
      <c r="E604" s="3">
        <v>149417</v>
      </c>
    </row>
    <row r="605" spans="3:5" ht="18" customHeight="1">
      <c r="C605" s="3">
        <v>166780</v>
      </c>
      <c r="E605" s="3">
        <v>158471</v>
      </c>
    </row>
    <row r="606" spans="3:5" ht="18" customHeight="1">
      <c r="C606" s="3">
        <v>179367</v>
      </c>
      <c r="E606" s="3">
        <v>172524</v>
      </c>
    </row>
    <row r="607" spans="3:5" ht="18" customHeight="1">
      <c r="C607" s="3">
        <v>179368</v>
      </c>
      <c r="E607" s="3">
        <v>84158</v>
      </c>
    </row>
    <row r="608" spans="3:5" ht="18" customHeight="1">
      <c r="C608" s="3">
        <v>162074</v>
      </c>
      <c r="E608" s="3">
        <v>149418</v>
      </c>
    </row>
    <row r="609" spans="3:5" ht="18" customHeight="1">
      <c r="C609" s="3">
        <v>127413</v>
      </c>
      <c r="E609" s="3">
        <v>84159</v>
      </c>
    </row>
    <row r="610" spans="3:5" ht="18" customHeight="1">
      <c r="C610" s="3">
        <v>179369</v>
      </c>
      <c r="E610" s="3">
        <v>6325</v>
      </c>
    </row>
    <row r="611" spans="3:5" ht="18" customHeight="1">
      <c r="C611" s="3">
        <v>166782</v>
      </c>
      <c r="E611" s="3">
        <v>6318</v>
      </c>
    </row>
    <row r="612" spans="3:5" ht="18" customHeight="1">
      <c r="C612" s="3">
        <v>127431</v>
      </c>
      <c r="E612" s="3">
        <v>6322</v>
      </c>
    </row>
    <row r="613" spans="3:5" ht="18" customHeight="1">
      <c r="C613" s="3">
        <v>127432</v>
      </c>
      <c r="E613" s="3">
        <v>6324</v>
      </c>
    </row>
    <row r="614" spans="3:5" ht="18" customHeight="1">
      <c r="C614" s="3">
        <v>179373</v>
      </c>
      <c r="E614" s="3">
        <v>6323</v>
      </c>
    </row>
    <row r="615" spans="3:5" ht="18" customHeight="1">
      <c r="C615" s="3">
        <v>179374</v>
      </c>
      <c r="E615" s="3">
        <v>179896</v>
      </c>
    </row>
    <row r="616" spans="3:5" ht="18" customHeight="1">
      <c r="C616" s="3">
        <v>179375</v>
      </c>
      <c r="E616" s="3">
        <v>6326</v>
      </c>
    </row>
    <row r="617" spans="3:5" ht="18" customHeight="1">
      <c r="C617" s="3">
        <v>127433</v>
      </c>
      <c r="E617" s="3">
        <v>6327</v>
      </c>
    </row>
    <row r="618" spans="3:5" ht="18" customHeight="1">
      <c r="C618" s="3">
        <v>179376</v>
      </c>
      <c r="E618" s="3">
        <v>84160</v>
      </c>
    </row>
    <row r="619" spans="3:5" ht="18" customHeight="1">
      <c r="C619" s="3">
        <v>179328</v>
      </c>
      <c r="E619" s="3">
        <v>84161</v>
      </c>
    </row>
    <row r="620" spans="3:5" ht="18" customHeight="1">
      <c r="C620" s="3">
        <v>179329</v>
      </c>
      <c r="E620" s="3">
        <v>6316</v>
      </c>
    </row>
    <row r="621" spans="3:5" ht="18" customHeight="1">
      <c r="C621" s="3">
        <v>179330</v>
      </c>
      <c r="E621" s="3">
        <v>179666</v>
      </c>
    </row>
    <row r="622" spans="3:5" ht="18" customHeight="1">
      <c r="C622" s="3">
        <v>123786</v>
      </c>
      <c r="E622" s="3">
        <v>179667</v>
      </c>
    </row>
    <row r="623" spans="3:5" ht="18" customHeight="1">
      <c r="C623" s="3">
        <v>179331</v>
      </c>
      <c r="E623" s="3">
        <v>180896</v>
      </c>
    </row>
    <row r="624" spans="3:5" ht="18" customHeight="1">
      <c r="C624" s="3">
        <v>162054</v>
      </c>
      <c r="E624" s="3">
        <v>6311</v>
      </c>
    </row>
    <row r="625" spans="3:5" ht="18" customHeight="1">
      <c r="C625" s="3">
        <v>68114</v>
      </c>
      <c r="E625" s="3">
        <v>6328</v>
      </c>
    </row>
    <row r="626" spans="3:5" ht="18" customHeight="1">
      <c r="C626" s="3">
        <v>179332</v>
      </c>
      <c r="E626" s="3">
        <v>6329</v>
      </c>
    </row>
    <row r="627" spans="3:5" ht="18" customHeight="1">
      <c r="C627" s="3">
        <v>170608</v>
      </c>
      <c r="E627" s="3">
        <v>6330</v>
      </c>
    </row>
    <row r="628" spans="3:5" ht="18" customHeight="1">
      <c r="C628" s="3">
        <v>169978</v>
      </c>
      <c r="E628" s="3">
        <v>6331</v>
      </c>
    </row>
    <row r="629" spans="3:5" ht="18" customHeight="1">
      <c r="C629" s="3">
        <v>123787</v>
      </c>
      <c r="E629" s="3">
        <v>6332</v>
      </c>
    </row>
    <row r="630" spans="3:5" ht="18" customHeight="1">
      <c r="C630" s="3">
        <v>127408</v>
      </c>
      <c r="E630" s="3">
        <v>6333</v>
      </c>
    </row>
    <row r="631" spans="3:5" ht="18" customHeight="1">
      <c r="C631" s="3">
        <v>179333</v>
      </c>
      <c r="E631" s="3">
        <v>179897</v>
      </c>
    </row>
    <row r="632" spans="3:5" ht="18" customHeight="1">
      <c r="C632" s="3">
        <v>146901</v>
      </c>
      <c r="E632" s="3">
        <v>6334</v>
      </c>
    </row>
    <row r="633" spans="3:5" ht="18" customHeight="1">
      <c r="C633" s="3">
        <v>179327</v>
      </c>
      <c r="E633" s="3">
        <v>31852</v>
      </c>
    </row>
    <row r="634" spans="3:5" ht="18" customHeight="1">
      <c r="C634" s="3">
        <v>127409</v>
      </c>
      <c r="E634" s="3">
        <v>179898</v>
      </c>
    </row>
    <row r="635" spans="3:5" ht="18" customHeight="1">
      <c r="C635" s="3">
        <v>179334</v>
      </c>
      <c r="E635" s="3">
        <v>31853</v>
      </c>
    </row>
    <row r="636" spans="3:5" ht="18" customHeight="1">
      <c r="C636" s="3">
        <v>179335</v>
      </c>
      <c r="E636" s="3">
        <v>124125</v>
      </c>
    </row>
    <row r="637" spans="3:5" ht="18" customHeight="1">
      <c r="C637" s="3">
        <v>179336</v>
      </c>
      <c r="E637" s="3">
        <v>6335</v>
      </c>
    </row>
    <row r="638" spans="3:5" ht="18" customHeight="1">
      <c r="C638" s="3">
        <v>123789</v>
      </c>
      <c r="E638" s="3">
        <v>31854</v>
      </c>
    </row>
    <row r="639" spans="3:5" ht="18" customHeight="1">
      <c r="C639" s="3">
        <v>91577</v>
      </c>
      <c r="E639" s="3">
        <v>162307</v>
      </c>
    </row>
    <row r="640" spans="3:5" ht="18" customHeight="1">
      <c r="C640" s="3">
        <v>179337</v>
      </c>
      <c r="E640" s="3">
        <v>169482</v>
      </c>
    </row>
    <row r="641" spans="3:5" ht="18" customHeight="1">
      <c r="C641" s="3">
        <v>91578</v>
      </c>
      <c r="E641" s="3">
        <v>6337</v>
      </c>
    </row>
    <row r="642" spans="3:5" ht="18" customHeight="1">
      <c r="C642" s="3">
        <v>179338</v>
      </c>
      <c r="E642" s="3">
        <v>149419</v>
      </c>
    </row>
    <row r="643" spans="3:5" ht="18" customHeight="1">
      <c r="C643" s="3">
        <v>179339</v>
      </c>
      <c r="E643" s="3">
        <v>6336</v>
      </c>
    </row>
    <row r="644" spans="3:5" ht="18" customHeight="1">
      <c r="C644" s="3">
        <v>91579</v>
      </c>
      <c r="E644" s="3">
        <v>6338</v>
      </c>
    </row>
    <row r="645" spans="3:5" ht="18" customHeight="1">
      <c r="C645" s="3">
        <v>179340</v>
      </c>
      <c r="E645" s="3">
        <v>31855</v>
      </c>
    </row>
    <row r="646" spans="3:5" ht="18" customHeight="1">
      <c r="C646" s="3">
        <v>47176</v>
      </c>
      <c r="E646" s="3">
        <v>124126</v>
      </c>
    </row>
    <row r="647" spans="3:5" ht="18" customHeight="1">
      <c r="C647" s="3">
        <v>179341</v>
      </c>
      <c r="E647" s="3">
        <v>175868</v>
      </c>
    </row>
    <row r="648" spans="3:5" ht="18" customHeight="1">
      <c r="C648" s="3">
        <v>179342</v>
      </c>
      <c r="E648" s="3">
        <v>175869</v>
      </c>
    </row>
    <row r="649" spans="3:5" ht="18" customHeight="1">
      <c r="C649" s="3">
        <v>179343</v>
      </c>
      <c r="E649" s="3">
        <v>6315</v>
      </c>
    </row>
    <row r="650" spans="3:5" ht="18" customHeight="1">
      <c r="C650" s="3">
        <v>91580</v>
      </c>
      <c r="E650" s="3">
        <v>5363</v>
      </c>
    </row>
    <row r="651" spans="3:5" ht="18" customHeight="1">
      <c r="C651" s="3">
        <v>127410</v>
      </c>
      <c r="E651" s="3">
        <v>5366</v>
      </c>
    </row>
    <row r="652" spans="3:5" ht="18" customHeight="1">
      <c r="C652" s="3">
        <v>127411</v>
      </c>
      <c r="E652" s="3">
        <v>5367</v>
      </c>
    </row>
    <row r="653" spans="3:5" ht="18" customHeight="1">
      <c r="C653" s="3">
        <v>153380</v>
      </c>
      <c r="E653" s="3">
        <v>6339</v>
      </c>
    </row>
    <row r="654" spans="3:5" ht="18" customHeight="1">
      <c r="C654" s="3">
        <v>153381</v>
      </c>
      <c r="E654" s="3">
        <v>6340</v>
      </c>
    </row>
    <row r="655" spans="3:5" ht="18" customHeight="1">
      <c r="C655" s="3">
        <v>153382</v>
      </c>
      <c r="E655" s="3">
        <v>179899</v>
      </c>
    </row>
    <row r="656" spans="3:5" ht="18" customHeight="1">
      <c r="C656" s="3">
        <v>111852</v>
      </c>
      <c r="E656" s="3">
        <v>150114</v>
      </c>
    </row>
    <row r="657" spans="3:5" ht="18" customHeight="1">
      <c r="C657" s="3">
        <v>111870</v>
      </c>
      <c r="E657" s="3">
        <v>150115</v>
      </c>
    </row>
    <row r="658" spans="3:5" ht="18" customHeight="1">
      <c r="C658" s="3">
        <v>111854</v>
      </c>
      <c r="E658" s="3">
        <v>6341</v>
      </c>
    </row>
    <row r="659" spans="3:5" ht="18" customHeight="1">
      <c r="C659" s="3">
        <v>111855</v>
      </c>
      <c r="E659" s="3">
        <v>31856</v>
      </c>
    </row>
    <row r="660" spans="3:5" ht="18" customHeight="1">
      <c r="C660" s="3">
        <v>111857</v>
      </c>
      <c r="E660" s="3">
        <v>5364</v>
      </c>
    </row>
    <row r="661" spans="3:5" ht="18" customHeight="1">
      <c r="C661" s="3">
        <v>111853</v>
      </c>
      <c r="E661" s="3">
        <v>6342</v>
      </c>
    </row>
    <row r="662" spans="3:5" ht="18" customHeight="1">
      <c r="C662" s="3">
        <v>111856</v>
      </c>
      <c r="E662" s="3">
        <v>6343</v>
      </c>
    </row>
    <row r="663" spans="3:5" ht="18" customHeight="1">
      <c r="C663" s="3">
        <v>3469</v>
      </c>
      <c r="E663" s="3">
        <v>179900</v>
      </c>
    </row>
    <row r="664" spans="3:5" ht="18" customHeight="1">
      <c r="C664" s="3">
        <v>3470</v>
      </c>
      <c r="E664" s="3">
        <v>6344</v>
      </c>
    </row>
    <row r="665" spans="3:5" ht="18" customHeight="1">
      <c r="C665" s="3">
        <v>3472</v>
      </c>
      <c r="E665" s="3">
        <v>5365</v>
      </c>
    </row>
    <row r="666" spans="3:5" ht="18" customHeight="1">
      <c r="C666" s="3">
        <v>3473</v>
      </c>
      <c r="E666" s="3">
        <v>6882</v>
      </c>
    </row>
    <row r="667" spans="3:5" ht="18" customHeight="1">
      <c r="C667" s="3">
        <v>3474</v>
      </c>
      <c r="E667" s="3">
        <v>6308</v>
      </c>
    </row>
    <row r="668" spans="3:5" ht="18" customHeight="1">
      <c r="C668" s="3">
        <v>111861</v>
      </c>
      <c r="E668" s="3">
        <v>80750</v>
      </c>
    </row>
    <row r="669" spans="3:5" ht="18" customHeight="1">
      <c r="C669" s="3">
        <v>23851</v>
      </c>
      <c r="E669" s="3">
        <v>31857</v>
      </c>
    </row>
    <row r="670" spans="3:5" ht="18" customHeight="1">
      <c r="C670" s="3">
        <v>3475</v>
      </c>
      <c r="E670" s="3">
        <v>31859</v>
      </c>
    </row>
    <row r="671" spans="3:5" ht="18" customHeight="1">
      <c r="C671" s="3">
        <v>3476</v>
      </c>
      <c r="E671" s="3">
        <v>31858</v>
      </c>
    </row>
    <row r="672" spans="3:5" ht="18" customHeight="1">
      <c r="C672" s="3">
        <v>3471</v>
      </c>
      <c r="E672" s="3">
        <v>6314</v>
      </c>
    </row>
    <row r="673" spans="3:5" ht="18" customHeight="1">
      <c r="C673" s="3">
        <v>80109</v>
      </c>
      <c r="E673" s="3">
        <v>31860</v>
      </c>
    </row>
    <row r="674" spans="3:5" ht="18" customHeight="1">
      <c r="C674" s="3">
        <v>179344</v>
      </c>
      <c r="E674" s="3">
        <v>107007</v>
      </c>
    </row>
    <row r="675" spans="3:5" ht="18" customHeight="1">
      <c r="C675" s="3">
        <v>179345</v>
      </c>
      <c r="E675" s="3">
        <v>162308</v>
      </c>
    </row>
    <row r="676" spans="3:5" ht="18" customHeight="1">
      <c r="C676" s="3">
        <v>179346</v>
      </c>
      <c r="E676" s="3">
        <v>107008</v>
      </c>
    </row>
    <row r="677" spans="3:5" ht="18" customHeight="1">
      <c r="C677" s="3">
        <v>70089</v>
      </c>
      <c r="E677" s="3">
        <v>107009</v>
      </c>
    </row>
    <row r="678" spans="3:5" ht="18" customHeight="1">
      <c r="C678" s="3">
        <v>179347</v>
      </c>
      <c r="E678" s="3">
        <v>171090</v>
      </c>
    </row>
    <row r="679" spans="3:5" ht="18" customHeight="1">
      <c r="C679" s="3">
        <v>179348</v>
      </c>
      <c r="E679" s="3">
        <v>175870</v>
      </c>
    </row>
    <row r="680" spans="3:5" ht="18" customHeight="1">
      <c r="C680" s="3">
        <v>179349</v>
      </c>
      <c r="E680" s="3">
        <v>31861</v>
      </c>
    </row>
    <row r="681" spans="3:5" ht="18" customHeight="1">
      <c r="C681" s="3">
        <v>179350</v>
      </c>
      <c r="E681" s="3">
        <v>6348</v>
      </c>
    </row>
    <row r="682" spans="3:5" ht="18" customHeight="1">
      <c r="C682" s="3">
        <v>179351</v>
      </c>
      <c r="E682" s="3">
        <v>6350</v>
      </c>
    </row>
    <row r="683" spans="3:5" ht="18" customHeight="1">
      <c r="C683" s="3">
        <v>179352</v>
      </c>
      <c r="E683" s="3">
        <v>6351</v>
      </c>
    </row>
    <row r="684" spans="3:5" ht="18" customHeight="1">
      <c r="C684" s="3">
        <v>73240</v>
      </c>
      <c r="E684" s="3">
        <v>6352</v>
      </c>
    </row>
    <row r="685" spans="3:5" ht="18" customHeight="1">
      <c r="C685" s="3">
        <v>179353</v>
      </c>
      <c r="E685" s="3">
        <v>158472</v>
      </c>
    </row>
    <row r="686" spans="3:5" ht="18" customHeight="1">
      <c r="C686" s="3">
        <v>179354</v>
      </c>
      <c r="E686" s="3">
        <v>158473</v>
      </c>
    </row>
    <row r="687" spans="3:5" ht="18" customHeight="1">
      <c r="C687" s="3">
        <v>150924</v>
      </c>
      <c r="E687" s="3">
        <v>6353</v>
      </c>
    </row>
    <row r="688" spans="3:5" ht="18" customHeight="1">
      <c r="C688" s="3">
        <v>73184</v>
      </c>
      <c r="E688" s="3">
        <v>175871</v>
      </c>
    </row>
    <row r="689" spans="3:5" ht="18" customHeight="1">
      <c r="C689" s="3">
        <v>73185</v>
      </c>
      <c r="E689" s="3">
        <v>43919</v>
      </c>
    </row>
    <row r="690" spans="3:5" ht="18" customHeight="1">
      <c r="C690" s="3">
        <v>73186</v>
      </c>
      <c r="E690" s="3">
        <v>179901</v>
      </c>
    </row>
    <row r="691" spans="3:5" ht="18" customHeight="1">
      <c r="C691" s="3">
        <v>73187</v>
      </c>
      <c r="E691" s="3">
        <v>6354</v>
      </c>
    </row>
    <row r="692" spans="3:5" ht="18" customHeight="1">
      <c r="C692" s="3">
        <v>162482</v>
      </c>
      <c r="E692" s="3">
        <v>6349</v>
      </c>
    </row>
    <row r="693" spans="3:5" ht="18" customHeight="1">
      <c r="C693" s="3">
        <v>73218</v>
      </c>
      <c r="E693" s="3">
        <v>158474</v>
      </c>
    </row>
    <row r="694" spans="3:5" ht="18" customHeight="1">
      <c r="C694" s="3">
        <v>70094</v>
      </c>
      <c r="E694" s="3">
        <v>178899</v>
      </c>
    </row>
    <row r="695" spans="3:5" ht="18" customHeight="1">
      <c r="C695" s="3">
        <v>73188</v>
      </c>
      <c r="E695" s="3">
        <v>179902</v>
      </c>
    </row>
    <row r="696" spans="3:5" ht="18" customHeight="1">
      <c r="C696" s="3">
        <v>80112</v>
      </c>
      <c r="E696" s="3">
        <v>170270</v>
      </c>
    </row>
    <row r="697" spans="3:5" ht="18" customHeight="1">
      <c r="C697" s="3">
        <v>73189</v>
      </c>
      <c r="E697" s="3">
        <v>6355</v>
      </c>
    </row>
    <row r="698" spans="3:5" ht="18" customHeight="1">
      <c r="C698" s="3">
        <v>73190</v>
      </c>
      <c r="E698" s="3">
        <v>181469</v>
      </c>
    </row>
    <row r="699" spans="3:5" ht="18" customHeight="1">
      <c r="C699" s="3">
        <v>73191</v>
      </c>
      <c r="E699" s="3">
        <v>181470</v>
      </c>
    </row>
    <row r="700" spans="3:5" ht="18" customHeight="1">
      <c r="C700" s="3">
        <v>80113</v>
      </c>
      <c r="E700" s="3">
        <v>181471</v>
      </c>
    </row>
    <row r="701" spans="3:5" ht="18" customHeight="1">
      <c r="C701" s="3">
        <v>80114</v>
      </c>
      <c r="E701" s="3">
        <v>181472</v>
      </c>
    </row>
    <row r="702" spans="3:5" ht="18" customHeight="1">
      <c r="C702" s="3">
        <v>91576</v>
      </c>
      <c r="E702" s="3">
        <v>181473</v>
      </c>
    </row>
    <row r="703" spans="3:5" ht="18" customHeight="1">
      <c r="C703" s="3">
        <v>73206</v>
      </c>
      <c r="E703" s="3">
        <v>181474</v>
      </c>
    </row>
    <row r="704" spans="3:5" ht="18" customHeight="1">
      <c r="C704" s="3">
        <v>80115</v>
      </c>
      <c r="E704" s="3">
        <v>182371</v>
      </c>
    </row>
    <row r="705" spans="3:5" ht="18" customHeight="1">
      <c r="C705" s="3">
        <v>73192</v>
      </c>
      <c r="E705" s="3">
        <v>31863</v>
      </c>
    </row>
    <row r="706" spans="3:5" ht="18" customHeight="1">
      <c r="C706" s="3">
        <v>73193</v>
      </c>
      <c r="E706" s="3">
        <v>6371</v>
      </c>
    </row>
    <row r="707" spans="3:5" ht="18" customHeight="1">
      <c r="C707" s="3">
        <v>80116</v>
      </c>
      <c r="E707" s="3">
        <v>6395</v>
      </c>
    </row>
    <row r="708" spans="3:5" ht="18" customHeight="1">
      <c r="C708" s="3">
        <v>73194</v>
      </c>
      <c r="E708" s="3">
        <v>6396</v>
      </c>
    </row>
    <row r="709" spans="3:5" ht="18" customHeight="1">
      <c r="C709" s="3">
        <v>73195</v>
      </c>
      <c r="E709" s="3">
        <v>6397</v>
      </c>
    </row>
    <row r="710" spans="3:5" ht="18" customHeight="1">
      <c r="C710" s="3">
        <v>73197</v>
      </c>
      <c r="E710" s="3">
        <v>6398</v>
      </c>
    </row>
    <row r="711" spans="3:5" ht="18" customHeight="1">
      <c r="C711" s="3">
        <v>73198</v>
      </c>
      <c r="E711" s="3">
        <v>31864</v>
      </c>
    </row>
    <row r="712" spans="3:5" ht="18" customHeight="1">
      <c r="C712" s="3">
        <v>73199</v>
      </c>
      <c r="E712" s="3">
        <v>169480</v>
      </c>
    </row>
    <row r="713" spans="3:5" ht="18" customHeight="1">
      <c r="C713" s="3">
        <v>65177</v>
      </c>
      <c r="E713" s="3">
        <v>6399</v>
      </c>
    </row>
    <row r="714" spans="3:5" ht="18" customHeight="1">
      <c r="C714" s="3">
        <v>65179</v>
      </c>
      <c r="E714" s="3">
        <v>84162</v>
      </c>
    </row>
    <row r="715" spans="3:5" ht="18" customHeight="1">
      <c r="C715" s="3">
        <v>73200</v>
      </c>
      <c r="E715" s="3">
        <v>170154</v>
      </c>
    </row>
    <row r="716" spans="3:5" ht="18" customHeight="1">
      <c r="C716" s="3">
        <v>73201</v>
      </c>
      <c r="E716" s="3">
        <v>6393</v>
      </c>
    </row>
    <row r="717" spans="3:5" ht="18" customHeight="1">
      <c r="C717" s="3">
        <v>73202</v>
      </c>
      <c r="E717" s="3">
        <v>162309</v>
      </c>
    </row>
    <row r="718" spans="3:5" ht="18" customHeight="1">
      <c r="C718" s="3">
        <v>73203</v>
      </c>
      <c r="E718" s="3">
        <v>173662</v>
      </c>
    </row>
    <row r="719" spans="3:5" ht="18" customHeight="1">
      <c r="C719" s="3">
        <v>73204</v>
      </c>
      <c r="E719" s="3">
        <v>173663</v>
      </c>
    </row>
    <row r="720" spans="3:5" ht="18" customHeight="1">
      <c r="C720" s="3">
        <v>93831</v>
      </c>
      <c r="E720" s="3">
        <v>6400</v>
      </c>
    </row>
    <row r="721" spans="3:5" ht="18" customHeight="1">
      <c r="C721" s="3">
        <v>65176</v>
      </c>
      <c r="E721" s="3">
        <v>84163</v>
      </c>
    </row>
    <row r="722" spans="3:5" ht="18" customHeight="1">
      <c r="C722" s="3">
        <v>70088</v>
      </c>
      <c r="E722" s="3">
        <v>173664</v>
      </c>
    </row>
    <row r="723" spans="3:5" ht="18" customHeight="1">
      <c r="C723" s="3">
        <v>73205</v>
      </c>
      <c r="E723" s="3">
        <v>179903</v>
      </c>
    </row>
    <row r="724" spans="3:5" ht="18" customHeight="1">
      <c r="C724" s="3">
        <v>70096</v>
      </c>
      <c r="E724" s="3">
        <v>6394</v>
      </c>
    </row>
    <row r="725" spans="3:5" ht="18" customHeight="1">
      <c r="C725" s="3">
        <v>73208</v>
      </c>
      <c r="E725" s="3">
        <v>11304</v>
      </c>
    </row>
    <row r="726" spans="3:5" ht="18" customHeight="1">
      <c r="C726" s="3">
        <v>73209</v>
      </c>
      <c r="E726" s="3">
        <v>158475</v>
      </c>
    </row>
    <row r="727" spans="3:5" ht="18" customHeight="1">
      <c r="C727" s="3">
        <v>91575</v>
      </c>
      <c r="E727" s="3">
        <v>6401</v>
      </c>
    </row>
    <row r="728" spans="3:5" ht="18" customHeight="1">
      <c r="C728" s="3">
        <v>65178</v>
      </c>
      <c r="E728" s="3">
        <v>6402</v>
      </c>
    </row>
    <row r="729" spans="3:5" ht="18" customHeight="1">
      <c r="C729" s="3">
        <v>73210</v>
      </c>
      <c r="E729" s="3">
        <v>84164</v>
      </c>
    </row>
    <row r="730" spans="3:5" ht="18" customHeight="1">
      <c r="C730" s="3">
        <v>73211</v>
      </c>
      <c r="E730" s="3">
        <v>150116</v>
      </c>
    </row>
    <row r="731" spans="3:5" ht="18" customHeight="1">
      <c r="C731" s="3">
        <v>80110</v>
      </c>
      <c r="E731" s="3">
        <v>6403</v>
      </c>
    </row>
    <row r="732" spans="3:5" ht="18" customHeight="1">
      <c r="C732" s="3">
        <v>73212</v>
      </c>
      <c r="E732" s="3">
        <v>6392</v>
      </c>
    </row>
    <row r="733" spans="3:5" ht="18" customHeight="1">
      <c r="C733" s="3">
        <v>80111</v>
      </c>
      <c r="E733" s="3">
        <v>84165</v>
      </c>
    </row>
    <row r="734" spans="3:5" ht="18" customHeight="1">
      <c r="C734" s="3">
        <v>73213</v>
      </c>
      <c r="E734" s="3">
        <v>6372</v>
      </c>
    </row>
    <row r="735" spans="3:5" ht="18" customHeight="1">
      <c r="C735" s="3">
        <v>73214</v>
      </c>
      <c r="E735" s="3">
        <v>15287</v>
      </c>
    </row>
    <row r="736" spans="3:5" ht="18" customHeight="1">
      <c r="C736" s="3">
        <v>73215</v>
      </c>
      <c r="E736" s="3">
        <v>179906</v>
      </c>
    </row>
    <row r="737" spans="3:5" ht="18" customHeight="1">
      <c r="C737" s="3">
        <v>73216</v>
      </c>
      <c r="E737" s="3">
        <v>11305</v>
      </c>
    </row>
    <row r="738" spans="3:5" ht="18" customHeight="1">
      <c r="C738" s="3">
        <v>90895</v>
      </c>
      <c r="E738" s="3">
        <v>6404</v>
      </c>
    </row>
    <row r="739" spans="3:5" ht="18" customHeight="1">
      <c r="C739" s="3">
        <v>73217</v>
      </c>
      <c r="E739" s="3">
        <v>11306</v>
      </c>
    </row>
    <row r="740" spans="3:5" ht="18" customHeight="1">
      <c r="C740" s="3">
        <v>98957</v>
      </c>
      <c r="E740" s="3">
        <v>179904</v>
      </c>
    </row>
    <row r="741" spans="3:5" ht="18" customHeight="1">
      <c r="C741" s="3">
        <v>73219</v>
      </c>
      <c r="E741" s="3">
        <v>179905</v>
      </c>
    </row>
    <row r="742" spans="3:5" ht="18" customHeight="1">
      <c r="C742" s="3">
        <v>73220</v>
      </c>
      <c r="E742" s="3">
        <v>6405</v>
      </c>
    </row>
    <row r="743" spans="3:5" ht="18" customHeight="1">
      <c r="C743" s="3">
        <v>73221</v>
      </c>
      <c r="E743" s="3">
        <v>6406</v>
      </c>
    </row>
    <row r="744" spans="3:5" ht="18" customHeight="1">
      <c r="C744" s="3">
        <v>73222</v>
      </c>
      <c r="E744" s="3">
        <v>12476</v>
      </c>
    </row>
    <row r="745" spans="3:5" ht="18" customHeight="1">
      <c r="C745" s="3">
        <v>73223</v>
      </c>
      <c r="E745" s="3">
        <v>179907</v>
      </c>
    </row>
    <row r="746" spans="3:5" ht="18" customHeight="1">
      <c r="C746" s="3">
        <v>73224</v>
      </c>
      <c r="E746" s="3">
        <v>6407</v>
      </c>
    </row>
    <row r="747" spans="3:5" ht="18" customHeight="1">
      <c r="C747" s="3">
        <v>73225</v>
      </c>
      <c r="E747" s="3">
        <v>13478</v>
      </c>
    </row>
    <row r="748" spans="3:5" ht="18" customHeight="1">
      <c r="C748" s="3">
        <v>73226</v>
      </c>
      <c r="E748" s="3">
        <v>179908</v>
      </c>
    </row>
    <row r="749" spans="3:5" ht="18" customHeight="1">
      <c r="C749" s="3">
        <v>73227</v>
      </c>
      <c r="E749" s="3">
        <v>31865</v>
      </c>
    </row>
    <row r="750" spans="3:5" ht="18" customHeight="1">
      <c r="C750" s="3">
        <v>73228</v>
      </c>
      <c r="E750" s="3">
        <v>6391</v>
      </c>
    </row>
    <row r="751" spans="3:5" ht="18" customHeight="1">
      <c r="C751" s="3">
        <v>73229</v>
      </c>
      <c r="E751" s="3">
        <v>180074</v>
      </c>
    </row>
    <row r="752" spans="3:5" ht="18" customHeight="1">
      <c r="C752" s="3">
        <v>73230</v>
      </c>
      <c r="E752" s="3">
        <v>180075</v>
      </c>
    </row>
    <row r="753" spans="3:5" ht="18" customHeight="1">
      <c r="C753" s="3">
        <v>73231</v>
      </c>
      <c r="E753" s="3">
        <v>180076</v>
      </c>
    </row>
    <row r="754" spans="3:5" ht="18" customHeight="1">
      <c r="C754" s="3">
        <v>80120</v>
      </c>
      <c r="E754" s="3">
        <v>180077</v>
      </c>
    </row>
    <row r="755" spans="3:5" ht="18" customHeight="1">
      <c r="C755" s="3">
        <v>65175</v>
      </c>
      <c r="E755" s="3">
        <v>6389</v>
      </c>
    </row>
    <row r="756" spans="3:5" ht="18" customHeight="1">
      <c r="C756" s="3">
        <v>80118</v>
      </c>
      <c r="E756" s="3">
        <v>180078</v>
      </c>
    </row>
    <row r="757" spans="3:5" ht="18" customHeight="1">
      <c r="C757" s="3">
        <v>73234</v>
      </c>
      <c r="E757" s="3">
        <v>180079</v>
      </c>
    </row>
    <row r="758" spans="3:5" ht="18" customHeight="1">
      <c r="C758" s="3">
        <v>73236</v>
      </c>
      <c r="E758" s="3">
        <v>180080</v>
      </c>
    </row>
    <row r="759" spans="3:5" ht="18" customHeight="1">
      <c r="C759" s="3">
        <v>73237</v>
      </c>
      <c r="E759" s="3">
        <v>180081</v>
      </c>
    </row>
    <row r="760" spans="3:5" ht="18" customHeight="1">
      <c r="C760" s="3">
        <v>73238</v>
      </c>
      <c r="E760" s="3">
        <v>180082</v>
      </c>
    </row>
    <row r="761" spans="3:5" ht="18" customHeight="1">
      <c r="C761" s="3">
        <v>73239</v>
      </c>
      <c r="E761" s="3">
        <v>180083</v>
      </c>
    </row>
    <row r="762" spans="3:5" ht="18" customHeight="1">
      <c r="C762" s="3">
        <v>73242</v>
      </c>
      <c r="E762" s="3">
        <v>6376</v>
      </c>
    </row>
    <row r="763" spans="3:5" ht="18" customHeight="1">
      <c r="C763" s="3">
        <v>80119</v>
      </c>
      <c r="E763" s="3">
        <v>43920</v>
      </c>
    </row>
    <row r="764" spans="3:5" ht="18" customHeight="1">
      <c r="C764" s="3">
        <v>263</v>
      </c>
      <c r="E764" s="3">
        <v>6409</v>
      </c>
    </row>
    <row r="765" spans="3:5" ht="18" customHeight="1">
      <c r="C765" s="3">
        <v>179378</v>
      </c>
      <c r="E765" s="3">
        <v>179909</v>
      </c>
    </row>
    <row r="766" spans="3:5" ht="18" customHeight="1">
      <c r="C766" s="3">
        <v>179379</v>
      </c>
      <c r="E766" s="3">
        <v>6410</v>
      </c>
    </row>
    <row r="767" spans="3:5" ht="18" customHeight="1">
      <c r="C767" s="3">
        <v>179380</v>
      </c>
      <c r="E767" s="3">
        <v>6411</v>
      </c>
    </row>
    <row r="768" spans="3:5" ht="18" customHeight="1">
      <c r="C768" s="3">
        <v>128308</v>
      </c>
      <c r="E768" s="3">
        <v>39417</v>
      </c>
    </row>
    <row r="769" spans="3:5" ht="18" customHeight="1">
      <c r="C769" s="3">
        <v>179381</v>
      </c>
      <c r="E769" s="3">
        <v>6412</v>
      </c>
    </row>
    <row r="770" spans="3:5" ht="18" customHeight="1">
      <c r="C770" s="3">
        <v>179382</v>
      </c>
      <c r="E770" s="3">
        <v>179910</v>
      </c>
    </row>
    <row r="771" spans="3:5" ht="18" customHeight="1">
      <c r="C771" s="3">
        <v>179383</v>
      </c>
      <c r="E771" s="3">
        <v>6413</v>
      </c>
    </row>
    <row r="772" spans="3:5" ht="18" customHeight="1">
      <c r="C772" s="3">
        <v>145834</v>
      </c>
      <c r="E772" s="3">
        <v>6414</v>
      </c>
    </row>
    <row r="773" spans="3:5" ht="18" customHeight="1">
      <c r="C773" s="3">
        <v>179384</v>
      </c>
      <c r="E773" s="3">
        <v>43921</v>
      </c>
    </row>
    <row r="774" spans="3:5" ht="18" customHeight="1">
      <c r="C774" s="3">
        <v>179385</v>
      </c>
      <c r="E774" s="3">
        <v>6415</v>
      </c>
    </row>
    <row r="775" spans="3:5" ht="18" customHeight="1">
      <c r="C775" s="3">
        <v>179386</v>
      </c>
      <c r="E775" s="3">
        <v>6416</v>
      </c>
    </row>
    <row r="776" spans="3:5" ht="18" customHeight="1">
      <c r="C776" s="3">
        <v>179387</v>
      </c>
      <c r="E776" s="3">
        <v>6408</v>
      </c>
    </row>
    <row r="777" spans="3:5" ht="18" customHeight="1">
      <c r="C777" s="3">
        <v>179388</v>
      </c>
      <c r="E777" s="3">
        <v>6387</v>
      </c>
    </row>
    <row r="778" spans="3:5" ht="18" customHeight="1">
      <c r="C778" s="3">
        <v>179389</v>
      </c>
      <c r="E778" s="3">
        <v>6377</v>
      </c>
    </row>
    <row r="779" spans="3:5" ht="18" customHeight="1">
      <c r="C779" s="3">
        <v>179390</v>
      </c>
      <c r="E779" s="3">
        <v>179911</v>
      </c>
    </row>
    <row r="780" spans="3:5" ht="18" customHeight="1">
      <c r="C780" s="3">
        <v>179391</v>
      </c>
      <c r="E780" s="3">
        <v>6417</v>
      </c>
    </row>
    <row r="781" spans="3:5" ht="18" customHeight="1">
      <c r="C781" s="3">
        <v>7903</v>
      </c>
      <c r="E781" s="3">
        <v>6418</v>
      </c>
    </row>
    <row r="782" spans="3:5" ht="18" customHeight="1">
      <c r="C782" s="3">
        <v>40395</v>
      </c>
      <c r="E782" s="3">
        <v>6419</v>
      </c>
    </row>
    <row r="783" spans="3:5" ht="18" customHeight="1">
      <c r="C783" s="3">
        <v>47159</v>
      </c>
      <c r="E783" s="3">
        <v>6420</v>
      </c>
    </row>
    <row r="784" spans="3:5" ht="18" customHeight="1">
      <c r="C784" s="3">
        <v>68004</v>
      </c>
      <c r="E784" s="3">
        <v>169340</v>
      </c>
    </row>
    <row r="785" spans="3:5" ht="18" customHeight="1">
      <c r="C785" s="3">
        <v>47160</v>
      </c>
      <c r="E785" s="3">
        <v>169341</v>
      </c>
    </row>
    <row r="786" spans="3:5" ht="18" customHeight="1">
      <c r="C786" s="3">
        <v>127405</v>
      </c>
      <c r="E786" s="3">
        <v>124127</v>
      </c>
    </row>
    <row r="787" spans="3:5" ht="18" customHeight="1">
      <c r="C787" s="3">
        <v>4744</v>
      </c>
      <c r="E787" s="3">
        <v>158476</v>
      </c>
    </row>
    <row r="788" spans="3:5" ht="18" customHeight="1">
      <c r="C788" s="3">
        <v>40370</v>
      </c>
      <c r="E788" s="3">
        <v>6421</v>
      </c>
    </row>
    <row r="789" spans="3:5" ht="18" customHeight="1">
      <c r="C789" s="3">
        <v>35288</v>
      </c>
      <c r="E789" s="3">
        <v>6422</v>
      </c>
    </row>
    <row r="790" spans="3:5" ht="18" customHeight="1">
      <c r="C790" s="3">
        <v>91581</v>
      </c>
      <c r="E790" s="3">
        <v>7244</v>
      </c>
    </row>
    <row r="791" spans="3:5" ht="18" customHeight="1">
      <c r="C791" s="3">
        <v>179392</v>
      </c>
      <c r="E791" s="3">
        <v>6424</v>
      </c>
    </row>
    <row r="792" spans="3:5" ht="18" customHeight="1">
      <c r="C792" s="3">
        <v>47162</v>
      </c>
      <c r="E792" s="3">
        <v>13481</v>
      </c>
    </row>
    <row r="793" spans="3:5" ht="18" customHeight="1">
      <c r="C793" s="3">
        <v>35289</v>
      </c>
      <c r="E793" s="3">
        <v>124128</v>
      </c>
    </row>
    <row r="794" spans="3:5" ht="18" customHeight="1">
      <c r="C794" s="3">
        <v>35284</v>
      </c>
      <c r="E794" s="3">
        <v>6425</v>
      </c>
    </row>
    <row r="795" spans="3:5" ht="18" customHeight="1">
      <c r="C795" s="3">
        <v>47170</v>
      </c>
      <c r="E795" s="3">
        <v>43922</v>
      </c>
    </row>
    <row r="796" spans="3:5" ht="18" customHeight="1">
      <c r="C796" s="3">
        <v>17734</v>
      </c>
      <c r="E796" s="3">
        <v>6426</v>
      </c>
    </row>
    <row r="797" spans="3:5" ht="18" customHeight="1">
      <c r="C797" s="3">
        <v>3489</v>
      </c>
      <c r="E797" s="3">
        <v>169342</v>
      </c>
    </row>
    <row r="798" spans="3:5" ht="18" customHeight="1">
      <c r="C798" s="3">
        <v>47163</v>
      </c>
      <c r="E798" s="3">
        <v>6427</v>
      </c>
    </row>
    <row r="799" spans="3:5" ht="18" customHeight="1">
      <c r="C799" s="3">
        <v>47164</v>
      </c>
      <c r="E799" s="3">
        <v>179912</v>
      </c>
    </row>
    <row r="800" spans="3:5" ht="18" customHeight="1">
      <c r="C800" s="3">
        <v>7891</v>
      </c>
      <c r="E800" s="3">
        <v>107010</v>
      </c>
    </row>
    <row r="801" spans="3:5" ht="18" customHeight="1">
      <c r="C801" s="3">
        <v>47172</v>
      </c>
      <c r="E801" s="3">
        <v>6386</v>
      </c>
    </row>
    <row r="802" spans="3:5" ht="18" customHeight="1">
      <c r="C802" s="3">
        <v>3490</v>
      </c>
      <c r="E802" s="3">
        <v>6013</v>
      </c>
    </row>
    <row r="803" spans="3:5" ht="18" customHeight="1">
      <c r="C803" s="3">
        <v>12563</v>
      </c>
      <c r="E803" s="3">
        <v>6428</v>
      </c>
    </row>
    <row r="804" spans="3:5" ht="18" customHeight="1">
      <c r="C804" s="3">
        <v>179393</v>
      </c>
      <c r="E804" s="3">
        <v>10156</v>
      </c>
    </row>
    <row r="805" spans="3:5" ht="18" customHeight="1">
      <c r="C805" s="3">
        <v>35285</v>
      </c>
      <c r="E805" s="3">
        <v>6429</v>
      </c>
    </row>
    <row r="806" spans="3:5" ht="18" customHeight="1">
      <c r="C806" s="3">
        <v>40411</v>
      </c>
      <c r="E806" s="3">
        <v>6430</v>
      </c>
    </row>
    <row r="807" spans="3:5" ht="18" customHeight="1">
      <c r="C807" s="3">
        <v>35286</v>
      </c>
      <c r="E807" s="3">
        <v>6431</v>
      </c>
    </row>
    <row r="808" spans="3:5" ht="18" customHeight="1">
      <c r="C808" s="3">
        <v>47165</v>
      </c>
      <c r="E808" s="3">
        <v>6432</v>
      </c>
    </row>
    <row r="809" spans="3:5" ht="18" customHeight="1">
      <c r="C809" s="3">
        <v>179394</v>
      </c>
      <c r="E809" s="3">
        <v>6433</v>
      </c>
    </row>
    <row r="810" spans="3:5" ht="18" customHeight="1">
      <c r="C810" s="3">
        <v>179395</v>
      </c>
      <c r="E810" s="3">
        <v>6434</v>
      </c>
    </row>
    <row r="811" spans="3:5" ht="18" customHeight="1">
      <c r="C811" s="3">
        <v>179396</v>
      </c>
      <c r="E811" s="3">
        <v>179913</v>
      </c>
    </row>
    <row r="812" spans="3:5" ht="18" customHeight="1">
      <c r="C812" s="3">
        <v>7886</v>
      </c>
      <c r="E812" s="3">
        <v>6435</v>
      </c>
    </row>
    <row r="813" spans="3:5" ht="18" customHeight="1">
      <c r="C813" s="3">
        <v>179397</v>
      </c>
      <c r="E813" s="3">
        <v>6015</v>
      </c>
    </row>
    <row r="814" spans="3:5" ht="18" customHeight="1">
      <c r="C814" s="3">
        <v>40413</v>
      </c>
      <c r="E814" s="3">
        <v>175872</v>
      </c>
    </row>
    <row r="815" spans="3:5" ht="18" customHeight="1">
      <c r="C815" s="3">
        <v>47167</v>
      </c>
      <c r="E815" s="3">
        <v>43923</v>
      </c>
    </row>
    <row r="816" spans="3:5" ht="18" customHeight="1">
      <c r="C816" s="3">
        <v>40417</v>
      </c>
      <c r="E816" s="3">
        <v>133217</v>
      </c>
    </row>
    <row r="817" spans="3:5" ht="18" customHeight="1">
      <c r="C817" s="3">
        <v>40419</v>
      </c>
      <c r="E817" s="3">
        <v>170155</v>
      </c>
    </row>
    <row r="818" spans="3:5" ht="18" customHeight="1">
      <c r="C818" s="3">
        <v>47169</v>
      </c>
      <c r="E818" s="3">
        <v>6058</v>
      </c>
    </row>
    <row r="819" spans="3:5" ht="18" customHeight="1">
      <c r="C819" s="3">
        <v>40422</v>
      </c>
      <c r="E819" s="3">
        <v>171998</v>
      </c>
    </row>
    <row r="820" spans="3:5" ht="18" customHeight="1">
      <c r="C820" s="3">
        <v>42829</v>
      </c>
      <c r="E820" s="3">
        <v>171999</v>
      </c>
    </row>
    <row r="821" spans="3:5" ht="18" customHeight="1">
      <c r="C821" s="3">
        <v>179398</v>
      </c>
      <c r="E821" s="3">
        <v>172000</v>
      </c>
    </row>
    <row r="822" spans="3:5" ht="18" customHeight="1">
      <c r="C822" s="3">
        <v>127399</v>
      </c>
      <c r="E822" s="3">
        <v>172001</v>
      </c>
    </row>
    <row r="823" spans="3:5" ht="18" customHeight="1">
      <c r="C823" s="3">
        <v>127400</v>
      </c>
      <c r="E823" s="3">
        <v>172002</v>
      </c>
    </row>
    <row r="824" spans="3:5" ht="18" customHeight="1">
      <c r="C824" s="3">
        <v>21035</v>
      </c>
      <c r="E824" s="3">
        <v>172003</v>
      </c>
    </row>
    <row r="825" spans="3:5" ht="18" customHeight="1">
      <c r="C825" s="3">
        <v>47171</v>
      </c>
      <c r="E825" s="3">
        <v>181475</v>
      </c>
    </row>
    <row r="826" spans="3:5" ht="18" customHeight="1">
      <c r="C826" s="3">
        <v>4749</v>
      </c>
      <c r="E826" s="3">
        <v>172004</v>
      </c>
    </row>
    <row r="827" spans="3:5" ht="18" customHeight="1">
      <c r="C827" s="3">
        <v>65182</v>
      </c>
      <c r="E827" s="3">
        <v>180084</v>
      </c>
    </row>
    <row r="828" spans="3:5" ht="18" customHeight="1">
      <c r="C828" s="3">
        <v>127402</v>
      </c>
      <c r="E828" s="3">
        <v>180085</v>
      </c>
    </row>
    <row r="829" spans="3:5" ht="18" customHeight="1">
      <c r="C829" s="3">
        <v>17937</v>
      </c>
      <c r="E829" s="3">
        <v>180086</v>
      </c>
    </row>
    <row r="830" spans="3:5" ht="18" customHeight="1">
      <c r="C830" s="3">
        <v>65183</v>
      </c>
      <c r="E830" s="3">
        <v>180087</v>
      </c>
    </row>
    <row r="831" spans="3:5" ht="18" customHeight="1">
      <c r="C831" s="3">
        <v>80121</v>
      </c>
      <c r="E831" s="3">
        <v>180088</v>
      </c>
    </row>
    <row r="832" spans="3:5" ht="18" customHeight="1">
      <c r="C832" s="3">
        <v>699</v>
      </c>
      <c r="E832" s="3">
        <v>180089</v>
      </c>
    </row>
    <row r="833" spans="3:5" ht="18" customHeight="1">
      <c r="C833" s="3">
        <v>145824</v>
      </c>
      <c r="E833" s="3">
        <v>157071</v>
      </c>
    </row>
    <row r="834" spans="3:5" ht="18" customHeight="1">
      <c r="C834" s="3">
        <v>179399</v>
      </c>
      <c r="E834" s="3">
        <v>157074</v>
      </c>
    </row>
    <row r="835" spans="3:5" ht="18" customHeight="1">
      <c r="C835" s="3">
        <v>145825</v>
      </c>
      <c r="E835" s="3">
        <v>171572</v>
      </c>
    </row>
    <row r="836" spans="3:5" ht="18" customHeight="1">
      <c r="C836" s="3">
        <v>145826</v>
      </c>
      <c r="E836" s="3">
        <v>157072</v>
      </c>
    </row>
    <row r="837" spans="3:5" ht="18" customHeight="1">
      <c r="C837" s="3">
        <v>145827</v>
      </c>
      <c r="E837" s="3">
        <v>157075</v>
      </c>
    </row>
    <row r="838" spans="3:5" ht="18" customHeight="1">
      <c r="C838" s="3">
        <v>145828</v>
      </c>
      <c r="E838" s="3">
        <v>157073</v>
      </c>
    </row>
    <row r="839" spans="3:5" ht="18" customHeight="1">
      <c r="C839" s="3">
        <v>145829</v>
      </c>
      <c r="E839" s="3">
        <v>157076</v>
      </c>
    </row>
    <row r="840" spans="3:5" ht="18" customHeight="1">
      <c r="C840" s="3">
        <v>145831</v>
      </c>
      <c r="E840" s="3">
        <v>6384</v>
      </c>
    </row>
    <row r="841" spans="3:5" ht="18" customHeight="1">
      <c r="C841" s="3">
        <v>145832</v>
      </c>
      <c r="E841" s="3">
        <v>6380</v>
      </c>
    </row>
    <row r="842" spans="3:5" ht="18" customHeight="1">
      <c r="C842" s="3">
        <v>145833</v>
      </c>
      <c r="E842" s="3">
        <v>6383</v>
      </c>
    </row>
    <row r="843" spans="3:5" ht="18" customHeight="1">
      <c r="C843" s="3">
        <v>127351</v>
      </c>
      <c r="E843" s="3">
        <v>6437</v>
      </c>
    </row>
    <row r="844" spans="3:5" ht="18" customHeight="1">
      <c r="C844" s="3">
        <v>145835</v>
      </c>
      <c r="E844" s="3">
        <v>124129</v>
      </c>
    </row>
    <row r="845" spans="3:5" ht="18" customHeight="1">
      <c r="C845" s="3">
        <v>3494</v>
      </c>
      <c r="E845" s="3">
        <v>175873</v>
      </c>
    </row>
    <row r="846" spans="3:5" ht="18" customHeight="1">
      <c r="C846" s="3">
        <v>145836</v>
      </c>
      <c r="E846" s="3">
        <v>31866</v>
      </c>
    </row>
    <row r="847" spans="3:5" ht="18" customHeight="1">
      <c r="C847" s="3">
        <v>145837</v>
      </c>
      <c r="E847" s="3">
        <v>31867</v>
      </c>
    </row>
    <row r="848" spans="3:5" ht="18" customHeight="1">
      <c r="C848" s="3">
        <v>145838</v>
      </c>
      <c r="E848" s="3">
        <v>133218</v>
      </c>
    </row>
    <row r="849" spans="3:5" ht="18" customHeight="1">
      <c r="C849" s="3">
        <v>145839</v>
      </c>
      <c r="E849" s="3">
        <v>179914</v>
      </c>
    </row>
    <row r="850" spans="3:5" ht="18" customHeight="1">
      <c r="C850" s="3">
        <v>128302</v>
      </c>
      <c r="E850" s="3">
        <v>6438</v>
      </c>
    </row>
    <row r="851" spans="3:5" ht="18" customHeight="1">
      <c r="C851" s="3">
        <v>145840</v>
      </c>
      <c r="E851" s="3">
        <v>6381</v>
      </c>
    </row>
    <row r="852" spans="3:5" ht="18" customHeight="1">
      <c r="C852" s="3">
        <v>145841</v>
      </c>
      <c r="E852" s="3">
        <v>158477</v>
      </c>
    </row>
    <row r="853" spans="3:5" ht="18" customHeight="1">
      <c r="C853" s="3">
        <v>47173</v>
      </c>
      <c r="E853" s="3">
        <v>149420</v>
      </c>
    </row>
    <row r="854" spans="3:5" ht="18" customHeight="1">
      <c r="C854" s="3">
        <v>179400</v>
      </c>
      <c r="E854" s="3">
        <v>119379</v>
      </c>
    </row>
    <row r="855" spans="3:5" ht="18" customHeight="1">
      <c r="C855" s="3">
        <v>145822</v>
      </c>
      <c r="E855" s="3">
        <v>80751</v>
      </c>
    </row>
    <row r="856" spans="3:5" ht="18" customHeight="1">
      <c r="C856" s="3">
        <v>123791</v>
      </c>
      <c r="E856" s="3">
        <v>149421</v>
      </c>
    </row>
    <row r="857" spans="3:5" ht="18" customHeight="1">
      <c r="C857" s="3">
        <v>127419</v>
      </c>
      <c r="E857" s="3">
        <v>172525</v>
      </c>
    </row>
    <row r="858" spans="3:5" ht="18" customHeight="1">
      <c r="C858" s="3">
        <v>123793</v>
      </c>
      <c r="E858" s="3">
        <v>80752</v>
      </c>
    </row>
    <row r="859" spans="3:5" ht="18" customHeight="1">
      <c r="C859" s="3">
        <v>123794</v>
      </c>
      <c r="E859" s="3">
        <v>149422</v>
      </c>
    </row>
    <row r="860" spans="3:5" ht="18" customHeight="1">
      <c r="C860" s="3">
        <v>123795</v>
      </c>
      <c r="E860" s="3">
        <v>80753</v>
      </c>
    </row>
    <row r="861" spans="3:5" ht="18" customHeight="1">
      <c r="C861" s="3">
        <v>123796</v>
      </c>
      <c r="E861" s="3">
        <v>6382</v>
      </c>
    </row>
    <row r="862" spans="3:5" ht="18" customHeight="1">
      <c r="C862" s="3">
        <v>123797</v>
      </c>
      <c r="E862" s="3">
        <v>116483</v>
      </c>
    </row>
    <row r="863" spans="3:5" ht="18" customHeight="1">
      <c r="C863" s="3">
        <v>123798</v>
      </c>
      <c r="E863" s="3">
        <v>175880</v>
      </c>
    </row>
    <row r="864" spans="3:5" ht="18" customHeight="1">
      <c r="C864" s="3">
        <v>123799</v>
      </c>
      <c r="E864" s="3">
        <v>172526</v>
      </c>
    </row>
    <row r="865" spans="3:5" ht="18" customHeight="1">
      <c r="C865" s="3">
        <v>131628</v>
      </c>
      <c r="E865" s="3">
        <v>116484</v>
      </c>
    </row>
    <row r="866" spans="3:5" ht="18" customHeight="1">
      <c r="C866" s="3">
        <v>123800</v>
      </c>
      <c r="E866" s="3">
        <v>116485</v>
      </c>
    </row>
    <row r="867" spans="3:5" ht="18" customHeight="1">
      <c r="C867" s="3">
        <v>123801</v>
      </c>
      <c r="E867" s="3">
        <v>116486</v>
      </c>
    </row>
    <row r="868" spans="3:5" ht="18" customHeight="1">
      <c r="C868" s="3">
        <v>123802</v>
      </c>
      <c r="E868" s="3">
        <v>158481</v>
      </c>
    </row>
    <row r="869" spans="3:5" ht="18" customHeight="1">
      <c r="C869" s="3">
        <v>123803</v>
      </c>
      <c r="E869" s="3">
        <v>80755</v>
      </c>
    </row>
    <row r="870" spans="3:5" ht="18" customHeight="1">
      <c r="C870" s="3">
        <v>123804</v>
      </c>
      <c r="E870" s="3">
        <v>6465</v>
      </c>
    </row>
    <row r="871" spans="3:5" ht="18" customHeight="1">
      <c r="C871" s="3">
        <v>145842</v>
      </c>
      <c r="E871" s="3">
        <v>179944</v>
      </c>
    </row>
    <row r="872" spans="3:5" ht="18" customHeight="1">
      <c r="C872" s="3">
        <v>179405</v>
      </c>
      <c r="E872" s="3">
        <v>179945</v>
      </c>
    </row>
    <row r="873" spans="3:5" ht="18" customHeight="1">
      <c r="C873" s="3">
        <v>700</v>
      </c>
      <c r="E873" s="3">
        <v>180898</v>
      </c>
    </row>
    <row r="874" spans="3:5" ht="18" customHeight="1">
      <c r="C874" s="3">
        <v>123783</v>
      </c>
      <c r="E874" s="3">
        <v>157077</v>
      </c>
    </row>
    <row r="875" spans="3:5" ht="18" customHeight="1">
      <c r="C875" s="3">
        <v>7908</v>
      </c>
      <c r="E875" s="3">
        <v>6466</v>
      </c>
    </row>
    <row r="876" spans="3:5" ht="18" customHeight="1">
      <c r="C876" s="3">
        <v>65184</v>
      </c>
      <c r="E876" s="3">
        <v>6452</v>
      </c>
    </row>
    <row r="877" spans="3:5" ht="18" customHeight="1">
      <c r="C877" s="3">
        <v>3515</v>
      </c>
      <c r="E877" s="3">
        <v>158478</v>
      </c>
    </row>
    <row r="878" spans="3:5" ht="18" customHeight="1">
      <c r="C878" s="3">
        <v>698</v>
      </c>
      <c r="E878" s="3">
        <v>175874</v>
      </c>
    </row>
    <row r="879" spans="3:5" ht="18" customHeight="1">
      <c r="C879" s="3">
        <v>7921</v>
      </c>
      <c r="E879" s="3">
        <v>13484</v>
      </c>
    </row>
    <row r="880" spans="3:5" ht="18" customHeight="1">
      <c r="C880" s="3">
        <v>264</v>
      </c>
      <c r="E880" s="3">
        <v>31868</v>
      </c>
    </row>
    <row r="881" spans="3:5" ht="18" customHeight="1">
      <c r="C881" s="3">
        <v>65200</v>
      </c>
      <c r="E881" s="3">
        <v>31869</v>
      </c>
    </row>
    <row r="882" spans="3:5" ht="18" customHeight="1">
      <c r="C882" s="3">
        <v>65202</v>
      </c>
      <c r="E882" s="3">
        <v>179915</v>
      </c>
    </row>
    <row r="883" spans="3:5" ht="18" customHeight="1">
      <c r="C883" s="3">
        <v>65204</v>
      </c>
      <c r="E883" s="3">
        <v>31870</v>
      </c>
    </row>
    <row r="884" spans="3:5" ht="18" customHeight="1">
      <c r="C884" s="3">
        <v>65201</v>
      </c>
      <c r="E884" s="3">
        <v>31871</v>
      </c>
    </row>
    <row r="885" spans="3:5" ht="18" customHeight="1">
      <c r="C885" s="3">
        <v>65205</v>
      </c>
      <c r="E885" s="3">
        <v>149423</v>
      </c>
    </row>
    <row r="886" spans="3:5" ht="18" customHeight="1">
      <c r="C886" s="3">
        <v>65206</v>
      </c>
      <c r="E886" s="3">
        <v>158479</v>
      </c>
    </row>
    <row r="887" spans="3:5" ht="18" customHeight="1">
      <c r="C887" s="3">
        <v>36716</v>
      </c>
      <c r="E887" s="3">
        <v>179916</v>
      </c>
    </row>
    <row r="888" spans="3:5" ht="18" customHeight="1">
      <c r="C888" s="3">
        <v>4753</v>
      </c>
      <c r="E888" s="3">
        <v>6467</v>
      </c>
    </row>
    <row r="889" spans="3:5" ht="18" customHeight="1">
      <c r="C889" s="3">
        <v>30261</v>
      </c>
      <c r="E889" s="3">
        <v>182372</v>
      </c>
    </row>
    <row r="890" spans="3:5" ht="18" customHeight="1">
      <c r="C890" s="3">
        <v>7896</v>
      </c>
      <c r="E890" s="3">
        <v>170158</v>
      </c>
    </row>
    <row r="891" spans="3:5" ht="18" customHeight="1">
      <c r="C891" s="3">
        <v>30262</v>
      </c>
      <c r="E891" s="3">
        <v>179938</v>
      </c>
    </row>
    <row r="892" spans="3:5" ht="18" customHeight="1">
      <c r="C892" s="3">
        <v>68096</v>
      </c>
      <c r="E892" s="3">
        <v>170164</v>
      </c>
    </row>
    <row r="893" spans="3:5" ht="18" customHeight="1">
      <c r="C893" s="3">
        <v>139793</v>
      </c>
      <c r="E893" s="3">
        <v>179939</v>
      </c>
    </row>
    <row r="894" spans="3:5" ht="18" customHeight="1">
      <c r="C894" s="3">
        <v>139794</v>
      </c>
      <c r="E894" s="3">
        <v>170159</v>
      </c>
    </row>
    <row r="895" spans="3:5" ht="18" customHeight="1">
      <c r="C895" s="3">
        <v>139796</v>
      </c>
      <c r="E895" s="3">
        <v>170160</v>
      </c>
    </row>
    <row r="896" spans="3:5" ht="18" customHeight="1">
      <c r="C896" s="3">
        <v>70097</v>
      </c>
      <c r="E896" s="3">
        <v>179934</v>
      </c>
    </row>
    <row r="897" spans="3:5" ht="18" customHeight="1">
      <c r="C897" s="3">
        <v>65203</v>
      </c>
      <c r="E897" s="3">
        <v>171094</v>
      </c>
    </row>
    <row r="898" spans="3:5" ht="18" customHeight="1">
      <c r="C898" s="3">
        <v>162062</v>
      </c>
      <c r="E898" s="3">
        <v>170161</v>
      </c>
    </row>
    <row r="899" spans="3:5" ht="18" customHeight="1">
      <c r="C899" s="3">
        <v>168205</v>
      </c>
      <c r="E899" s="3">
        <v>175885</v>
      </c>
    </row>
    <row r="900" spans="3:5" ht="18" customHeight="1">
      <c r="C900" s="3">
        <v>65207</v>
      </c>
      <c r="E900" s="3">
        <v>179935</v>
      </c>
    </row>
    <row r="901" spans="3:5" ht="18" customHeight="1">
      <c r="C901" s="3">
        <v>168207</v>
      </c>
      <c r="E901" s="3">
        <v>170162</v>
      </c>
    </row>
    <row r="902" spans="3:5" ht="18" customHeight="1">
      <c r="C902" s="3">
        <v>168208</v>
      </c>
      <c r="E902" s="3">
        <v>179936</v>
      </c>
    </row>
    <row r="903" spans="3:5" ht="18" customHeight="1">
      <c r="C903" s="3">
        <v>70098</v>
      </c>
      <c r="E903" s="3">
        <v>179937</v>
      </c>
    </row>
    <row r="904" spans="3:5" ht="18" customHeight="1">
      <c r="C904" s="3">
        <v>179401</v>
      </c>
      <c r="E904" s="3">
        <v>170163</v>
      </c>
    </row>
    <row r="905" spans="3:5" ht="18" customHeight="1">
      <c r="C905" s="3">
        <v>65213</v>
      </c>
      <c r="E905" s="3">
        <v>6468</v>
      </c>
    </row>
    <row r="906" spans="3:5" ht="18" customHeight="1">
      <c r="C906" s="3">
        <v>168201</v>
      </c>
      <c r="E906" s="3">
        <v>180041</v>
      </c>
    </row>
    <row r="907" spans="3:5" ht="18" customHeight="1">
      <c r="C907" s="3">
        <v>162063</v>
      </c>
      <c r="E907" s="3">
        <v>180042</v>
      </c>
    </row>
    <row r="908" spans="3:5" ht="18" customHeight="1">
      <c r="C908" s="3">
        <v>162064</v>
      </c>
      <c r="E908" s="3">
        <v>180043</v>
      </c>
    </row>
    <row r="909" spans="3:5" ht="18" customHeight="1">
      <c r="C909" s="3">
        <v>162065</v>
      </c>
      <c r="E909" s="3">
        <v>180044</v>
      </c>
    </row>
    <row r="910" spans="3:5" ht="18" customHeight="1">
      <c r="C910" s="3">
        <v>168202</v>
      </c>
      <c r="E910" s="3">
        <v>180045</v>
      </c>
    </row>
    <row r="911" spans="3:5" ht="18" customHeight="1">
      <c r="C911" s="3">
        <v>139789</v>
      </c>
      <c r="E911" s="3">
        <v>6016</v>
      </c>
    </row>
    <row r="912" spans="3:5" ht="18" customHeight="1">
      <c r="C912" s="3">
        <v>162066</v>
      </c>
      <c r="E912" s="3">
        <v>6442</v>
      </c>
    </row>
    <row r="913" spans="3:5" ht="18" customHeight="1">
      <c r="C913" s="3">
        <v>162069</v>
      </c>
      <c r="E913" s="3">
        <v>6444</v>
      </c>
    </row>
    <row r="914" spans="3:5" ht="18" customHeight="1">
      <c r="C914" s="3">
        <v>139790</v>
      </c>
      <c r="E914" s="3">
        <v>6017</v>
      </c>
    </row>
    <row r="915" spans="3:5" ht="18" customHeight="1">
      <c r="C915" s="3">
        <v>162067</v>
      </c>
      <c r="E915" s="3">
        <v>15288</v>
      </c>
    </row>
    <row r="916" spans="3:5" ht="18" customHeight="1">
      <c r="C916" s="3">
        <v>162068</v>
      </c>
      <c r="E916" s="3">
        <v>6445</v>
      </c>
    </row>
    <row r="917" spans="3:5" ht="18" customHeight="1">
      <c r="C917" s="3">
        <v>139791</v>
      </c>
      <c r="E917" s="3">
        <v>179917</v>
      </c>
    </row>
    <row r="918" spans="3:5" ht="18" customHeight="1">
      <c r="C918" s="3">
        <v>65210</v>
      </c>
      <c r="E918" s="3">
        <v>179918</v>
      </c>
    </row>
    <row r="919" spans="3:5" ht="18" customHeight="1">
      <c r="C919" s="3">
        <v>65212</v>
      </c>
      <c r="E919" s="3">
        <v>133219</v>
      </c>
    </row>
    <row r="920" spans="3:5" ht="18" customHeight="1">
      <c r="C920" s="3">
        <v>65211</v>
      </c>
      <c r="E920" s="3">
        <v>43924</v>
      </c>
    </row>
    <row r="921" spans="3:5" ht="18" customHeight="1">
      <c r="C921" s="3">
        <v>65214</v>
      </c>
      <c r="E921" s="3">
        <v>6443</v>
      </c>
    </row>
    <row r="922" spans="3:5" ht="18" customHeight="1">
      <c r="C922" s="3">
        <v>162070</v>
      </c>
      <c r="E922" s="3">
        <v>107011</v>
      </c>
    </row>
    <row r="923" spans="3:5" ht="18" customHeight="1">
      <c r="C923" s="3">
        <v>91583</v>
      </c>
      <c r="E923" s="3">
        <v>15289</v>
      </c>
    </row>
    <row r="924" spans="3:5" ht="18" customHeight="1">
      <c r="C924" s="3">
        <v>703</v>
      </c>
      <c r="E924" s="3">
        <v>6446</v>
      </c>
    </row>
    <row r="925" spans="3:5" ht="18" customHeight="1">
      <c r="C925" s="3">
        <v>3459</v>
      </c>
      <c r="E925" s="3">
        <v>6440</v>
      </c>
    </row>
    <row r="926" spans="3:5" ht="18" customHeight="1">
      <c r="C926" s="3">
        <v>139792</v>
      </c>
      <c r="E926" s="3">
        <v>43925</v>
      </c>
    </row>
    <row r="927" spans="3:5" ht="18" customHeight="1">
      <c r="C927" s="3">
        <v>166764</v>
      </c>
      <c r="E927" s="3">
        <v>175875</v>
      </c>
    </row>
    <row r="928" spans="3:5" ht="18" customHeight="1">
      <c r="C928" s="3">
        <v>179402</v>
      </c>
      <c r="E928" s="3">
        <v>31872</v>
      </c>
    </row>
    <row r="929" spans="3:5" ht="18" customHeight="1">
      <c r="C929" s="3">
        <v>4751</v>
      </c>
      <c r="E929" s="3">
        <v>178900</v>
      </c>
    </row>
    <row r="930" spans="3:5" ht="18" customHeight="1">
      <c r="C930" s="3">
        <v>7937</v>
      </c>
      <c r="E930" s="3">
        <v>31873</v>
      </c>
    </row>
    <row r="931" spans="3:5" ht="18" customHeight="1">
      <c r="C931" s="3">
        <v>162057</v>
      </c>
      <c r="E931" s="3">
        <v>31874</v>
      </c>
    </row>
    <row r="932" spans="3:5" ht="18" customHeight="1">
      <c r="C932" s="3">
        <v>162058</v>
      </c>
      <c r="E932" s="3">
        <v>84166</v>
      </c>
    </row>
    <row r="933" spans="3:5" ht="18" customHeight="1">
      <c r="C933" s="3">
        <v>162059</v>
      </c>
      <c r="E933" s="3">
        <v>6447</v>
      </c>
    </row>
    <row r="934" spans="3:5" ht="18" customHeight="1">
      <c r="C934" s="3">
        <v>179653</v>
      </c>
      <c r="E934" s="3">
        <v>179919</v>
      </c>
    </row>
    <row r="935" spans="3:5" ht="18" customHeight="1">
      <c r="C935" s="3">
        <v>82978</v>
      </c>
      <c r="E935" s="3">
        <v>6439</v>
      </c>
    </row>
    <row r="936" spans="3:5" ht="18" customHeight="1">
      <c r="C936" s="3">
        <v>701</v>
      </c>
      <c r="E936" s="3">
        <v>6448</v>
      </c>
    </row>
    <row r="937" spans="3:5" ht="18" customHeight="1">
      <c r="C937" s="3">
        <v>705</v>
      </c>
      <c r="E937" s="3">
        <v>39418</v>
      </c>
    </row>
    <row r="938" spans="3:5" ht="18" customHeight="1">
      <c r="C938" s="3">
        <v>170137</v>
      </c>
      <c r="E938" s="3">
        <v>166654</v>
      </c>
    </row>
    <row r="939" spans="3:5" ht="18" customHeight="1">
      <c r="C939" s="3">
        <v>182110</v>
      </c>
      <c r="E939" s="3">
        <v>149424</v>
      </c>
    </row>
    <row r="940" spans="3:5" ht="18" customHeight="1">
      <c r="C940" s="3">
        <v>14985</v>
      </c>
      <c r="E940" s="3">
        <v>6059</v>
      </c>
    </row>
    <row r="941" spans="3:5" ht="18" customHeight="1">
      <c r="C941" s="3">
        <v>91384</v>
      </c>
      <c r="E941" s="3">
        <v>6449</v>
      </c>
    </row>
    <row r="942" spans="3:5" ht="18" customHeight="1">
      <c r="C942" s="3">
        <v>182111</v>
      </c>
      <c r="E942" s="3">
        <v>80756</v>
      </c>
    </row>
    <row r="943" spans="3:5" ht="18" customHeight="1">
      <c r="C943" s="3">
        <v>157158</v>
      </c>
      <c r="E943" s="3">
        <v>80757</v>
      </c>
    </row>
    <row r="944" spans="3:5" ht="18" customHeight="1">
      <c r="C944" s="3">
        <v>19699</v>
      </c>
      <c r="E944" s="3">
        <v>6469</v>
      </c>
    </row>
    <row r="945" spans="3:5" ht="18" customHeight="1">
      <c r="C945" s="3">
        <v>48460</v>
      </c>
      <c r="E945" s="3">
        <v>6018</v>
      </c>
    </row>
    <row r="946" spans="3:5" ht="18" customHeight="1">
      <c r="C946" s="3">
        <v>157161</v>
      </c>
      <c r="E946" s="3">
        <v>6019</v>
      </c>
    </row>
    <row r="947" spans="3:5" ht="18" customHeight="1">
      <c r="C947" s="3">
        <v>163862</v>
      </c>
      <c r="E947" s="3">
        <v>31876</v>
      </c>
    </row>
    <row r="948" spans="3:5" ht="18" customHeight="1">
      <c r="C948" s="3">
        <v>168129</v>
      </c>
      <c r="E948" s="3">
        <v>15291</v>
      </c>
    </row>
    <row r="949" spans="3:5" ht="18" customHeight="1">
      <c r="C949" s="3">
        <v>163896</v>
      </c>
      <c r="E949" s="3">
        <v>31875</v>
      </c>
    </row>
    <row r="950" spans="3:5" ht="18" customHeight="1">
      <c r="C950" s="3">
        <v>159955</v>
      </c>
      <c r="E950" s="3">
        <v>175876</v>
      </c>
    </row>
    <row r="951" spans="3:5" ht="18" customHeight="1">
      <c r="C951" s="3">
        <v>123445</v>
      </c>
      <c r="E951" s="3">
        <v>179920</v>
      </c>
    </row>
    <row r="952" spans="3:5" ht="18" customHeight="1">
      <c r="C952" s="3">
        <v>41459</v>
      </c>
      <c r="E952" s="3">
        <v>158480</v>
      </c>
    </row>
    <row r="953" spans="3:5" ht="18" customHeight="1">
      <c r="C953" s="3">
        <v>23789</v>
      </c>
      <c r="E953" s="3">
        <v>15296</v>
      </c>
    </row>
    <row r="954" spans="3:5" ht="18" customHeight="1">
      <c r="C954" s="3">
        <v>4785</v>
      </c>
      <c r="E954" s="3">
        <v>179921</v>
      </c>
    </row>
    <row r="955" spans="3:5" ht="18" customHeight="1">
      <c r="C955" s="3">
        <v>29946</v>
      </c>
      <c r="E955" s="3">
        <v>15292</v>
      </c>
    </row>
    <row r="956" spans="3:5" ht="18" customHeight="1">
      <c r="C956" s="3">
        <v>178896</v>
      </c>
      <c r="E956" s="3">
        <v>175877</v>
      </c>
    </row>
    <row r="957" spans="3:5" ht="18" customHeight="1">
      <c r="C957" s="3">
        <v>119018</v>
      </c>
      <c r="E957" s="3">
        <v>6021</v>
      </c>
    </row>
    <row r="958" spans="3:5" ht="18" customHeight="1">
      <c r="C958" s="3">
        <v>15199</v>
      </c>
      <c r="E958" s="3">
        <v>15293</v>
      </c>
    </row>
    <row r="959" spans="3:5" ht="18" customHeight="1">
      <c r="C959" s="3">
        <v>38070</v>
      </c>
      <c r="E959" s="3">
        <v>168652</v>
      </c>
    </row>
    <row r="960" spans="3:5" ht="18" customHeight="1">
      <c r="C960" s="3">
        <v>23791</v>
      </c>
      <c r="E960" s="3">
        <v>147119</v>
      </c>
    </row>
    <row r="961" spans="3:5" ht="18" customHeight="1">
      <c r="C961" s="3">
        <v>177027</v>
      </c>
      <c r="E961" s="3">
        <v>175878</v>
      </c>
    </row>
    <row r="962" spans="3:5" ht="18" customHeight="1">
      <c r="C962" s="3">
        <v>47092</v>
      </c>
      <c r="E962" s="3">
        <v>15294</v>
      </c>
    </row>
    <row r="963" spans="3:5" ht="18" customHeight="1">
      <c r="C963" s="3">
        <v>47091</v>
      </c>
      <c r="E963" s="3">
        <v>166655</v>
      </c>
    </row>
    <row r="964" spans="3:5" ht="18" customHeight="1">
      <c r="C964" s="3">
        <v>29948</v>
      </c>
      <c r="E964" s="3">
        <v>179922</v>
      </c>
    </row>
    <row r="965" spans="3:5" ht="18" customHeight="1">
      <c r="C965" s="3">
        <v>177028</v>
      </c>
      <c r="E965" s="3">
        <v>179923</v>
      </c>
    </row>
    <row r="966" spans="3:5" ht="18" customHeight="1">
      <c r="C966" s="3">
        <v>38071</v>
      </c>
      <c r="E966" s="3">
        <v>179924</v>
      </c>
    </row>
    <row r="967" spans="3:5" ht="18" customHeight="1">
      <c r="C967" s="3">
        <v>113484</v>
      </c>
      <c r="E967" s="3">
        <v>15295</v>
      </c>
    </row>
    <row r="968" spans="3:5" ht="18" customHeight="1">
      <c r="C968" s="3">
        <v>119019</v>
      </c>
      <c r="E968" s="3">
        <v>166656</v>
      </c>
    </row>
    <row r="969" spans="3:5" ht="18" customHeight="1">
      <c r="C969" s="3">
        <v>3278</v>
      </c>
      <c r="E969" s="3">
        <v>84167</v>
      </c>
    </row>
    <row r="970" spans="3:5" ht="18" customHeight="1">
      <c r="C970" s="3">
        <v>38635</v>
      </c>
      <c r="E970" s="3">
        <v>159601</v>
      </c>
    </row>
    <row r="971" spans="3:5" ht="18" customHeight="1">
      <c r="C971" s="3">
        <v>169320</v>
      </c>
      <c r="E971" s="3">
        <v>6060</v>
      </c>
    </row>
    <row r="972" spans="3:5" ht="18" customHeight="1">
      <c r="C972" s="3">
        <v>169321</v>
      </c>
      <c r="E972" s="3">
        <v>6454</v>
      </c>
    </row>
    <row r="973" spans="3:5" ht="18" customHeight="1">
      <c r="C973" s="3">
        <v>169322</v>
      </c>
      <c r="E973" s="3">
        <v>31877</v>
      </c>
    </row>
    <row r="974" spans="3:5" ht="18" customHeight="1">
      <c r="C974" s="3">
        <v>169323</v>
      </c>
      <c r="E974" s="3">
        <v>6459</v>
      </c>
    </row>
    <row r="975" spans="3:5" ht="18" customHeight="1">
      <c r="C975" s="3">
        <v>169324</v>
      </c>
      <c r="E975" s="3">
        <v>31878</v>
      </c>
    </row>
    <row r="976" spans="3:5" ht="18" customHeight="1">
      <c r="C976" s="3">
        <v>169325</v>
      </c>
      <c r="E976" s="3">
        <v>6460</v>
      </c>
    </row>
    <row r="977" spans="3:5" ht="18" customHeight="1">
      <c r="C977" s="3">
        <v>169326</v>
      </c>
      <c r="E977" s="3">
        <v>179925</v>
      </c>
    </row>
    <row r="978" spans="3:5" ht="18" customHeight="1">
      <c r="C978" s="3">
        <v>169327</v>
      </c>
      <c r="E978" s="3">
        <v>162310</v>
      </c>
    </row>
    <row r="979" spans="3:5" ht="18" customHeight="1">
      <c r="C979" s="3">
        <v>169328</v>
      </c>
      <c r="E979" s="3">
        <v>31879</v>
      </c>
    </row>
    <row r="980" spans="3:5" ht="18" customHeight="1">
      <c r="C980" s="3">
        <v>169329</v>
      </c>
      <c r="E980" s="3">
        <v>179926</v>
      </c>
    </row>
    <row r="981" spans="3:5" ht="18" customHeight="1">
      <c r="C981" s="3">
        <v>169330</v>
      </c>
      <c r="E981" s="3">
        <v>6461</v>
      </c>
    </row>
    <row r="982" spans="3:5" ht="18" customHeight="1">
      <c r="C982" s="3">
        <v>169331</v>
      </c>
      <c r="E982" s="3">
        <v>47588</v>
      </c>
    </row>
    <row r="983" spans="3:5" ht="18" customHeight="1">
      <c r="C983" s="3">
        <v>169332</v>
      </c>
      <c r="E983" s="3">
        <v>6462</v>
      </c>
    </row>
    <row r="984" spans="3:5" ht="18" customHeight="1">
      <c r="C984" s="3">
        <v>169333</v>
      </c>
      <c r="E984" s="3">
        <v>6463</v>
      </c>
    </row>
    <row r="985" spans="3:5" ht="18" customHeight="1">
      <c r="C985" s="3">
        <v>169336</v>
      </c>
      <c r="E985" s="3">
        <v>179927</v>
      </c>
    </row>
    <row r="986" spans="3:5" ht="18" customHeight="1">
      <c r="C986" s="3">
        <v>169334</v>
      </c>
      <c r="E986" s="3">
        <v>124130</v>
      </c>
    </row>
    <row r="987" spans="3:5" ht="18" customHeight="1">
      <c r="C987" s="3">
        <v>169335</v>
      </c>
      <c r="E987" s="3">
        <v>124131</v>
      </c>
    </row>
    <row r="988" spans="3:5" ht="18" customHeight="1">
      <c r="C988" s="3">
        <v>38638</v>
      </c>
      <c r="E988" s="3">
        <v>6464</v>
      </c>
    </row>
    <row r="989" spans="3:5" ht="18" customHeight="1">
      <c r="C989" s="3">
        <v>169337</v>
      </c>
      <c r="E989" s="3">
        <v>179928</v>
      </c>
    </row>
    <row r="990" spans="3:5" ht="18" customHeight="1">
      <c r="C990" s="3">
        <v>171101</v>
      </c>
      <c r="E990" s="3">
        <v>31880</v>
      </c>
    </row>
    <row r="991" spans="3:5" ht="18" customHeight="1">
      <c r="C991" s="3">
        <v>38649</v>
      </c>
      <c r="E991" s="3">
        <v>166657</v>
      </c>
    </row>
    <row r="992" spans="3:5" ht="18" customHeight="1">
      <c r="C992" s="3">
        <v>169394</v>
      </c>
      <c r="E992" s="3">
        <v>162311</v>
      </c>
    </row>
    <row r="993" spans="3:5" ht="18" customHeight="1">
      <c r="C993" s="3">
        <v>169395</v>
      </c>
      <c r="E993" s="3">
        <v>119148</v>
      </c>
    </row>
    <row r="994" spans="3:5" ht="18" customHeight="1">
      <c r="C994" s="3">
        <v>169402</v>
      </c>
      <c r="E994" s="3">
        <v>6458</v>
      </c>
    </row>
    <row r="995" spans="3:5" ht="18" customHeight="1">
      <c r="C995" s="3">
        <v>169408</v>
      </c>
      <c r="E995" s="3">
        <v>6470</v>
      </c>
    </row>
    <row r="996" spans="3:5" ht="18" customHeight="1">
      <c r="C996" s="3">
        <v>169409</v>
      </c>
      <c r="E996" s="3">
        <v>7251</v>
      </c>
    </row>
    <row r="997" spans="3:5" ht="18" customHeight="1">
      <c r="C997" s="3">
        <v>38650</v>
      </c>
      <c r="E997" s="3">
        <v>6472</v>
      </c>
    </row>
    <row r="998" spans="3:5" ht="18" customHeight="1">
      <c r="C998" s="3">
        <v>38651</v>
      </c>
      <c r="E998" s="3">
        <v>177131</v>
      </c>
    </row>
    <row r="999" spans="3:5" ht="18" customHeight="1">
      <c r="C999" s="3">
        <v>169423</v>
      </c>
      <c r="E999" s="3">
        <v>6024</v>
      </c>
    </row>
    <row r="1000" spans="3:5" ht="18" customHeight="1">
      <c r="C1000" s="3">
        <v>169424</v>
      </c>
      <c r="E1000" s="3">
        <v>147899</v>
      </c>
    </row>
    <row r="1001" spans="3:5" ht="18" customHeight="1">
      <c r="C1001" s="3">
        <v>169431</v>
      </c>
      <c r="E1001" s="3">
        <v>147900</v>
      </c>
    </row>
    <row r="1002" spans="3:5" ht="18" customHeight="1">
      <c r="C1002" s="3">
        <v>169437</v>
      </c>
      <c r="E1002" s="3">
        <v>147901</v>
      </c>
    </row>
    <row r="1003" spans="3:5" ht="18" customHeight="1">
      <c r="C1003" s="3">
        <v>169438</v>
      </c>
      <c r="E1003" s="3">
        <v>147902</v>
      </c>
    </row>
    <row r="1004" spans="3:5" ht="18" customHeight="1">
      <c r="C1004" s="3">
        <v>169444</v>
      </c>
      <c r="E1004" s="3">
        <v>10062</v>
      </c>
    </row>
    <row r="1005" spans="3:5" ht="18" customHeight="1">
      <c r="C1005" s="3">
        <v>169445</v>
      </c>
      <c r="E1005" s="3">
        <v>171993</v>
      </c>
    </row>
    <row r="1006" spans="3:5" ht="18" customHeight="1">
      <c r="C1006" s="3">
        <v>169446</v>
      </c>
      <c r="E1006" s="3">
        <v>49973</v>
      </c>
    </row>
    <row r="1007" spans="3:5" ht="18" customHeight="1">
      <c r="C1007" s="3">
        <v>169473</v>
      </c>
      <c r="E1007" s="3">
        <v>38627</v>
      </c>
    </row>
    <row r="1008" spans="3:5" ht="18" customHeight="1">
      <c r="C1008" s="3">
        <v>169382</v>
      </c>
      <c r="E1008" s="3">
        <v>159586</v>
      </c>
    </row>
    <row r="1009" spans="3:5" ht="18" customHeight="1">
      <c r="C1009" s="3">
        <v>169386</v>
      </c>
      <c r="E1009" s="3">
        <v>182237</v>
      </c>
    </row>
    <row r="1010" spans="3:5" ht="18" customHeight="1">
      <c r="C1010" s="3">
        <v>169387</v>
      </c>
      <c r="E1010" s="3">
        <v>49978</v>
      </c>
    </row>
    <row r="1011" spans="3:5" ht="18" customHeight="1">
      <c r="C1011" s="3">
        <v>169388</v>
      </c>
      <c r="E1011" s="3">
        <v>159587</v>
      </c>
    </row>
    <row r="1012" spans="3:5" ht="18" customHeight="1">
      <c r="C1012" s="3">
        <v>38643</v>
      </c>
      <c r="E1012" s="3">
        <v>49974</v>
      </c>
    </row>
    <row r="1013" spans="3:5" ht="18" customHeight="1">
      <c r="C1013" s="3">
        <v>169389</v>
      </c>
      <c r="E1013" s="3">
        <v>49975</v>
      </c>
    </row>
    <row r="1014" spans="3:5" ht="18" customHeight="1">
      <c r="C1014" s="3">
        <v>169390</v>
      </c>
      <c r="E1014" s="3">
        <v>49976</v>
      </c>
    </row>
    <row r="1015" spans="3:5" ht="18" customHeight="1">
      <c r="C1015" s="3">
        <v>38642</v>
      </c>
      <c r="E1015" s="3">
        <v>49977</v>
      </c>
    </row>
    <row r="1016" spans="3:5" ht="18" customHeight="1">
      <c r="C1016" s="3">
        <v>169362</v>
      </c>
      <c r="E1016" s="3">
        <v>6025</v>
      </c>
    </row>
    <row r="1017" spans="3:5" ht="18" customHeight="1">
      <c r="C1017" s="3">
        <v>169363</v>
      </c>
      <c r="E1017" s="3">
        <v>49979</v>
      </c>
    </row>
    <row r="1018" spans="3:5" ht="18" customHeight="1">
      <c r="C1018" s="3">
        <v>169364</v>
      </c>
      <c r="E1018" s="3">
        <v>49980</v>
      </c>
    </row>
    <row r="1019" spans="3:5" ht="18" customHeight="1">
      <c r="C1019" s="3">
        <v>169365</v>
      </c>
      <c r="E1019" s="3">
        <v>6703</v>
      </c>
    </row>
    <row r="1020" spans="3:5" ht="18" customHeight="1">
      <c r="C1020" s="3">
        <v>169366</v>
      </c>
      <c r="E1020" s="3">
        <v>49981</v>
      </c>
    </row>
    <row r="1021" spans="3:5" ht="18" customHeight="1">
      <c r="C1021" s="3">
        <v>169367</v>
      </c>
      <c r="E1021" s="3">
        <v>171078</v>
      </c>
    </row>
    <row r="1022" spans="3:5" ht="18" customHeight="1">
      <c r="C1022" s="3">
        <v>169368</v>
      </c>
      <c r="E1022" s="3">
        <v>49982</v>
      </c>
    </row>
    <row r="1023" spans="3:5" ht="18" customHeight="1">
      <c r="C1023" s="3">
        <v>169369</v>
      </c>
      <c r="E1023" s="3">
        <v>49983</v>
      </c>
    </row>
    <row r="1024" spans="3:5" ht="18" customHeight="1">
      <c r="C1024" s="3">
        <v>169370</v>
      </c>
      <c r="E1024" s="3">
        <v>49984</v>
      </c>
    </row>
    <row r="1025" spans="3:5" ht="18" customHeight="1">
      <c r="C1025" s="3">
        <v>169371</v>
      </c>
      <c r="E1025" s="3">
        <v>49985</v>
      </c>
    </row>
    <row r="1026" spans="3:5" ht="18" customHeight="1">
      <c r="C1026" s="3">
        <v>169372</v>
      </c>
      <c r="E1026" s="3">
        <v>49986</v>
      </c>
    </row>
    <row r="1027" spans="3:5" ht="18" customHeight="1">
      <c r="C1027" s="3">
        <v>169373</v>
      </c>
      <c r="E1027" s="3">
        <v>6704</v>
      </c>
    </row>
    <row r="1028" spans="3:5" ht="18" customHeight="1">
      <c r="C1028" s="3">
        <v>169374</v>
      </c>
      <c r="E1028" s="3">
        <v>6705</v>
      </c>
    </row>
    <row r="1029" spans="3:5" ht="18" customHeight="1">
      <c r="C1029" s="3">
        <v>169375</v>
      </c>
      <c r="E1029" s="3">
        <v>181458</v>
      </c>
    </row>
    <row r="1030" spans="3:5" ht="18" customHeight="1">
      <c r="C1030" s="3">
        <v>38653</v>
      </c>
      <c r="E1030" s="3">
        <v>159588</v>
      </c>
    </row>
    <row r="1031" spans="3:5" ht="18" customHeight="1">
      <c r="C1031" s="3">
        <v>169343</v>
      </c>
      <c r="E1031" s="3">
        <v>159589</v>
      </c>
    </row>
    <row r="1032" spans="3:5" ht="18" customHeight="1">
      <c r="C1032" s="3">
        <v>169344</v>
      </c>
      <c r="E1032" s="3">
        <v>159590</v>
      </c>
    </row>
    <row r="1033" spans="3:5" ht="18" customHeight="1">
      <c r="C1033" s="3">
        <v>169345</v>
      </c>
      <c r="E1033" s="3">
        <v>133175</v>
      </c>
    </row>
    <row r="1034" spans="3:5" ht="18" customHeight="1">
      <c r="C1034" s="3">
        <v>171095</v>
      </c>
      <c r="E1034" s="3">
        <v>49987</v>
      </c>
    </row>
    <row r="1035" spans="3:5" ht="18" customHeight="1">
      <c r="C1035" s="3">
        <v>169346</v>
      </c>
      <c r="E1035" s="3">
        <v>171994</v>
      </c>
    </row>
    <row r="1036" spans="3:5" ht="18" customHeight="1">
      <c r="C1036" s="3">
        <v>169347</v>
      </c>
      <c r="E1036" s="3">
        <v>49988</v>
      </c>
    </row>
    <row r="1037" spans="3:5" ht="18" customHeight="1">
      <c r="C1037" s="3">
        <v>169348</v>
      </c>
      <c r="E1037" s="3">
        <v>171995</v>
      </c>
    </row>
    <row r="1038" spans="3:5" ht="18" customHeight="1">
      <c r="C1038" s="3">
        <v>169349</v>
      </c>
      <c r="E1038" s="3">
        <v>49989</v>
      </c>
    </row>
    <row r="1039" spans="3:5" ht="18" customHeight="1">
      <c r="C1039" s="3">
        <v>171096</v>
      </c>
      <c r="E1039" s="3">
        <v>49990</v>
      </c>
    </row>
    <row r="1040" spans="3:5" ht="18" customHeight="1">
      <c r="C1040" s="3">
        <v>169350</v>
      </c>
      <c r="E1040" s="3">
        <v>49991</v>
      </c>
    </row>
    <row r="1041" spans="3:5" ht="18" customHeight="1">
      <c r="C1041" s="3">
        <v>169351</v>
      </c>
      <c r="E1041" s="3">
        <v>6026</v>
      </c>
    </row>
    <row r="1042" spans="3:5" ht="18" customHeight="1">
      <c r="C1042" s="3">
        <v>169352</v>
      </c>
      <c r="E1042" s="3">
        <v>159591</v>
      </c>
    </row>
    <row r="1043" spans="3:5" ht="18" customHeight="1">
      <c r="C1043" s="3">
        <v>169353</v>
      </c>
      <c r="E1043" s="3">
        <v>49992</v>
      </c>
    </row>
    <row r="1044" spans="3:5" ht="18" customHeight="1">
      <c r="C1044" s="3">
        <v>169354</v>
      </c>
      <c r="E1044" s="3">
        <v>49993</v>
      </c>
    </row>
    <row r="1045" spans="3:5" ht="18" customHeight="1">
      <c r="C1045" s="3">
        <v>169355</v>
      </c>
      <c r="E1045" s="3">
        <v>173524</v>
      </c>
    </row>
    <row r="1046" spans="3:5" ht="18" customHeight="1">
      <c r="C1046" s="3">
        <v>169356</v>
      </c>
      <c r="E1046" s="3">
        <v>49994</v>
      </c>
    </row>
    <row r="1047" spans="3:5" ht="18" customHeight="1">
      <c r="C1047" s="3">
        <v>169357</v>
      </c>
      <c r="E1047" s="3">
        <v>49995</v>
      </c>
    </row>
    <row r="1048" spans="3:5" ht="18" customHeight="1">
      <c r="C1048" s="3">
        <v>169358</v>
      </c>
      <c r="E1048" s="3">
        <v>49996</v>
      </c>
    </row>
    <row r="1049" spans="3:5" ht="18" customHeight="1">
      <c r="C1049" s="3">
        <v>169359</v>
      </c>
      <c r="E1049" s="3">
        <v>49997</v>
      </c>
    </row>
    <row r="1050" spans="3:5" ht="18" customHeight="1">
      <c r="C1050" s="3">
        <v>169360</v>
      </c>
      <c r="E1050" s="3">
        <v>6707</v>
      </c>
    </row>
    <row r="1051" spans="3:5" ht="18" customHeight="1">
      <c r="C1051" s="3">
        <v>169361</v>
      </c>
      <c r="E1051" s="3">
        <v>159592</v>
      </c>
    </row>
    <row r="1052" spans="3:5" ht="18" customHeight="1">
      <c r="C1052" s="3">
        <v>38636</v>
      </c>
      <c r="E1052" s="3">
        <v>49998</v>
      </c>
    </row>
    <row r="1053" spans="3:5" ht="18" customHeight="1">
      <c r="C1053" s="3">
        <v>169474</v>
      </c>
      <c r="E1053" s="3">
        <v>149411</v>
      </c>
    </row>
    <row r="1054" spans="3:5" ht="18" customHeight="1">
      <c r="C1054" s="3">
        <v>169475</v>
      </c>
      <c r="E1054" s="3">
        <v>80647</v>
      </c>
    </row>
    <row r="1055" spans="3:5" ht="18" customHeight="1">
      <c r="C1055" s="3">
        <v>169476</v>
      </c>
      <c r="E1055" s="3">
        <v>49999</v>
      </c>
    </row>
    <row r="1056" spans="3:5" ht="18" customHeight="1">
      <c r="C1056" s="3">
        <v>169477</v>
      </c>
      <c r="E1056" s="3">
        <v>50000</v>
      </c>
    </row>
    <row r="1057" spans="3:5" ht="18" customHeight="1">
      <c r="C1057" s="3">
        <v>169478</v>
      </c>
      <c r="E1057" s="3">
        <v>149412</v>
      </c>
    </row>
    <row r="1058" spans="3:5" ht="18" customHeight="1">
      <c r="C1058" s="3">
        <v>38654</v>
      </c>
      <c r="E1058" s="3">
        <v>50001</v>
      </c>
    </row>
    <row r="1059" spans="3:5" ht="18" customHeight="1">
      <c r="C1059" s="3">
        <v>38644</v>
      </c>
      <c r="E1059" s="3">
        <v>147903</v>
      </c>
    </row>
    <row r="1060" spans="3:5" ht="18" customHeight="1">
      <c r="C1060" s="3">
        <v>38645</v>
      </c>
      <c r="E1060" s="3">
        <v>80648</v>
      </c>
    </row>
    <row r="1061" spans="3:5" ht="18" customHeight="1">
      <c r="C1061" s="3">
        <v>38646</v>
      </c>
      <c r="E1061" s="3">
        <v>171079</v>
      </c>
    </row>
    <row r="1062" spans="3:5" ht="18" customHeight="1">
      <c r="C1062" s="3">
        <v>169415</v>
      </c>
      <c r="E1062" s="3">
        <v>50002</v>
      </c>
    </row>
    <row r="1063" spans="3:5" ht="18" customHeight="1">
      <c r="C1063" s="3">
        <v>38647</v>
      </c>
      <c r="E1063" s="3">
        <v>50003</v>
      </c>
    </row>
    <row r="1064" spans="3:5" ht="18" customHeight="1">
      <c r="C1064" s="3">
        <v>169416</v>
      </c>
      <c r="E1064" s="3">
        <v>50004</v>
      </c>
    </row>
    <row r="1065" spans="3:5" ht="18" customHeight="1">
      <c r="C1065" s="3">
        <v>169417</v>
      </c>
      <c r="E1065" s="3">
        <v>50005</v>
      </c>
    </row>
    <row r="1066" spans="3:5" ht="18" customHeight="1">
      <c r="C1066" s="3">
        <v>169418</v>
      </c>
      <c r="E1066" s="3">
        <v>50006</v>
      </c>
    </row>
    <row r="1067" spans="3:5" ht="18" customHeight="1">
      <c r="C1067" s="3">
        <v>169419</v>
      </c>
      <c r="E1067" s="3">
        <v>50007</v>
      </c>
    </row>
    <row r="1068" spans="3:5" ht="18" customHeight="1">
      <c r="C1068" s="3">
        <v>169420</v>
      </c>
      <c r="E1068" s="3">
        <v>50008</v>
      </c>
    </row>
    <row r="1069" spans="3:5" ht="18" customHeight="1">
      <c r="C1069" s="3">
        <v>169421</v>
      </c>
      <c r="E1069" s="3">
        <v>50009</v>
      </c>
    </row>
    <row r="1070" spans="3:5" ht="18" customHeight="1">
      <c r="C1070" s="3">
        <v>169422</v>
      </c>
      <c r="E1070" s="3">
        <v>50011</v>
      </c>
    </row>
    <row r="1071" spans="3:5" ht="18" customHeight="1">
      <c r="C1071" s="3">
        <v>171097</v>
      </c>
      <c r="E1071" s="3">
        <v>50010</v>
      </c>
    </row>
    <row r="1072" spans="3:5" ht="18" customHeight="1">
      <c r="C1072" s="3">
        <v>169391</v>
      </c>
      <c r="E1072" s="3">
        <v>50012</v>
      </c>
    </row>
    <row r="1073" spans="3:5" ht="18" customHeight="1">
      <c r="C1073" s="3">
        <v>169392</v>
      </c>
      <c r="E1073" s="3">
        <v>6708</v>
      </c>
    </row>
    <row r="1074" spans="3:5" ht="18" customHeight="1">
      <c r="C1074" s="3">
        <v>169393</v>
      </c>
      <c r="E1074" s="3">
        <v>169317</v>
      </c>
    </row>
    <row r="1075" spans="3:5" ht="18" customHeight="1">
      <c r="C1075" s="3">
        <v>171098</v>
      </c>
      <c r="E1075" s="3">
        <v>50013</v>
      </c>
    </row>
    <row r="1076" spans="3:5" ht="18" customHeight="1">
      <c r="C1076" s="3">
        <v>171099</v>
      </c>
      <c r="E1076" s="3">
        <v>159593</v>
      </c>
    </row>
    <row r="1077" spans="3:5" ht="18" customHeight="1">
      <c r="C1077" s="3">
        <v>38655</v>
      </c>
      <c r="E1077" s="3">
        <v>6709</v>
      </c>
    </row>
    <row r="1078" spans="3:5" ht="18" customHeight="1">
      <c r="C1078" s="3">
        <v>18871</v>
      </c>
      <c r="E1078" s="3">
        <v>50014</v>
      </c>
    </row>
    <row r="1079" spans="3:5" ht="18" customHeight="1">
      <c r="C1079" s="3">
        <v>183063</v>
      </c>
      <c r="E1079" s="3">
        <v>50015</v>
      </c>
    </row>
    <row r="1080" spans="3:5" ht="18" customHeight="1">
      <c r="C1080" s="3">
        <v>183064</v>
      </c>
      <c r="E1080" s="3">
        <v>50016</v>
      </c>
    </row>
    <row r="1081" spans="3:5" ht="18" customHeight="1">
      <c r="C1081" s="3">
        <v>180235</v>
      </c>
      <c r="E1081" s="3">
        <v>50017</v>
      </c>
    </row>
    <row r="1082" spans="3:5" ht="18" customHeight="1">
      <c r="C1082" s="3">
        <v>31534</v>
      </c>
      <c r="E1082" s="3">
        <v>50018</v>
      </c>
    </row>
    <row r="1083" spans="3:5" ht="18" customHeight="1">
      <c r="C1083" s="3">
        <v>42014</v>
      </c>
      <c r="E1083" s="3">
        <v>147904</v>
      </c>
    </row>
    <row r="1084" spans="3:5" ht="18" customHeight="1">
      <c r="C1084" s="3">
        <v>51064</v>
      </c>
      <c r="E1084" s="3">
        <v>50019</v>
      </c>
    </row>
    <row r="1085" spans="3:5" ht="18" customHeight="1">
      <c r="C1085" s="3">
        <v>131487</v>
      </c>
      <c r="E1085" s="3">
        <v>50020</v>
      </c>
    </row>
    <row r="1086" spans="3:5" ht="18" customHeight="1">
      <c r="C1086" s="3">
        <v>131486</v>
      </c>
      <c r="E1086" s="3">
        <v>6710</v>
      </c>
    </row>
    <row r="1087" spans="3:5" ht="18" customHeight="1">
      <c r="C1087" s="3">
        <v>131495</v>
      </c>
      <c r="E1087" s="3">
        <v>50021</v>
      </c>
    </row>
    <row r="1088" spans="3:5" ht="18" customHeight="1">
      <c r="C1088" s="3">
        <v>170078</v>
      </c>
      <c r="E1088" s="3">
        <v>133176</v>
      </c>
    </row>
    <row r="1089" spans="3:5" ht="18" customHeight="1">
      <c r="C1089" s="3">
        <v>131494</v>
      </c>
      <c r="E1089" s="3">
        <v>50022</v>
      </c>
    </row>
    <row r="1090" spans="3:5" ht="18" customHeight="1">
      <c r="C1090" s="3">
        <v>131502</v>
      </c>
      <c r="E1090" s="3">
        <v>50023</v>
      </c>
    </row>
    <row r="1091" spans="3:5" ht="18" customHeight="1">
      <c r="C1091" s="3">
        <v>46322</v>
      </c>
      <c r="E1091" s="3">
        <v>6711</v>
      </c>
    </row>
    <row r="1092" spans="3:5" ht="18" customHeight="1">
      <c r="C1092" s="3">
        <v>80151</v>
      </c>
      <c r="E1092" s="3">
        <v>159594</v>
      </c>
    </row>
    <row r="1093" spans="3:5" ht="18" customHeight="1">
      <c r="C1093" s="3">
        <v>131503</v>
      </c>
      <c r="E1093" s="3">
        <v>159595</v>
      </c>
    </row>
    <row r="1094" spans="3:5" ht="18" customHeight="1">
      <c r="C1094" s="3">
        <v>3673</v>
      </c>
      <c r="E1094" s="3">
        <v>6713</v>
      </c>
    </row>
    <row r="1095" spans="3:5" ht="18" customHeight="1">
      <c r="C1095" s="3">
        <v>27386</v>
      </c>
      <c r="E1095" s="3">
        <v>159596</v>
      </c>
    </row>
    <row r="1096" spans="3:5" ht="18" customHeight="1">
      <c r="C1096" s="3">
        <v>90715</v>
      </c>
      <c r="E1096" s="3">
        <v>6714</v>
      </c>
    </row>
    <row r="1097" spans="3:5" ht="18" customHeight="1">
      <c r="C1097" s="3">
        <v>44940</v>
      </c>
      <c r="E1097" s="3">
        <v>169318</v>
      </c>
    </row>
    <row r="1098" spans="3:5" ht="18" customHeight="1">
      <c r="C1098" s="3">
        <v>20318</v>
      </c>
      <c r="E1098" s="3">
        <v>50024</v>
      </c>
    </row>
    <row r="1099" spans="3:5" ht="18" customHeight="1">
      <c r="C1099" s="3">
        <v>90718</v>
      </c>
      <c r="E1099" s="3">
        <v>50025</v>
      </c>
    </row>
    <row r="1100" spans="3:5" ht="18" customHeight="1">
      <c r="C1100" s="3">
        <v>90719</v>
      </c>
      <c r="E1100" s="3">
        <v>50026</v>
      </c>
    </row>
    <row r="1101" spans="3:5" ht="18" customHeight="1">
      <c r="C1101" s="3">
        <v>175676</v>
      </c>
      <c r="E1101" s="3">
        <v>140678</v>
      </c>
    </row>
    <row r="1102" spans="3:5" ht="18" customHeight="1">
      <c r="C1102" s="3">
        <v>31568</v>
      </c>
      <c r="E1102" s="3">
        <v>50027</v>
      </c>
    </row>
    <row r="1103" spans="3:5" ht="18" customHeight="1">
      <c r="C1103" s="3">
        <v>31569</v>
      </c>
      <c r="E1103" s="3">
        <v>147905</v>
      </c>
    </row>
    <row r="1104" spans="3:5" ht="18" customHeight="1">
      <c r="C1104" s="3">
        <v>168061</v>
      </c>
      <c r="E1104" s="3">
        <v>133177</v>
      </c>
    </row>
    <row r="1105" spans="3:5" ht="18" customHeight="1">
      <c r="C1105" s="3">
        <v>170080</v>
      </c>
      <c r="E1105" s="3">
        <v>50028</v>
      </c>
    </row>
    <row r="1106" spans="3:5" ht="18" customHeight="1">
      <c r="C1106" s="3">
        <v>175668</v>
      </c>
      <c r="E1106" s="3">
        <v>50029</v>
      </c>
    </row>
    <row r="1107" spans="3:5" ht="18" customHeight="1">
      <c r="C1107" s="3">
        <v>168060</v>
      </c>
      <c r="E1107" s="3">
        <v>50030</v>
      </c>
    </row>
    <row r="1108" spans="3:5" ht="18" customHeight="1">
      <c r="C1108" s="3">
        <v>170082</v>
      </c>
      <c r="E1108" s="3">
        <v>50031</v>
      </c>
    </row>
    <row r="1109" spans="3:5" ht="18" customHeight="1">
      <c r="C1109" s="3">
        <v>42017</v>
      </c>
      <c r="E1109" s="3">
        <v>50032</v>
      </c>
    </row>
    <row r="1110" spans="3:5" ht="18" customHeight="1">
      <c r="C1110" s="3">
        <v>168059</v>
      </c>
      <c r="E1110" s="3">
        <v>50033</v>
      </c>
    </row>
    <row r="1111" spans="3:5" ht="18" customHeight="1">
      <c r="C1111" s="3">
        <v>44980</v>
      </c>
      <c r="E1111" s="3">
        <v>149413</v>
      </c>
    </row>
    <row r="1112" spans="3:5" ht="18" customHeight="1">
      <c r="C1112" s="3">
        <v>3761</v>
      </c>
      <c r="E1112" s="3">
        <v>50034</v>
      </c>
    </row>
    <row r="1113" spans="3:5" ht="18" customHeight="1">
      <c r="C1113" s="3">
        <v>16145</v>
      </c>
      <c r="E1113" s="3">
        <v>6027</v>
      </c>
    </row>
    <row r="1114" spans="3:5" ht="18" customHeight="1">
      <c r="C1114" s="3">
        <v>131542</v>
      </c>
      <c r="E1114" s="3">
        <v>6715</v>
      </c>
    </row>
    <row r="1115" spans="3:5" ht="18" customHeight="1">
      <c r="C1115" s="3">
        <v>31509</v>
      </c>
      <c r="E1115" s="3">
        <v>182238</v>
      </c>
    </row>
    <row r="1116" spans="3:5" ht="18" customHeight="1">
      <c r="C1116" s="3">
        <v>158816</v>
      </c>
      <c r="E1116" s="3">
        <v>50035</v>
      </c>
    </row>
    <row r="1117" spans="3:5" ht="18" customHeight="1">
      <c r="C1117" s="3">
        <v>158817</v>
      </c>
      <c r="E1117" s="3">
        <v>50036</v>
      </c>
    </row>
    <row r="1118" spans="3:5" ht="18" customHeight="1">
      <c r="C1118" s="3">
        <v>169</v>
      </c>
      <c r="E1118" s="3">
        <v>50037</v>
      </c>
    </row>
    <row r="1119" spans="3:5" ht="18" customHeight="1">
      <c r="C1119" s="3">
        <v>175671</v>
      </c>
      <c r="E1119" s="3">
        <v>133178</v>
      </c>
    </row>
    <row r="1120" spans="3:5" ht="18" customHeight="1">
      <c r="C1120" s="3">
        <v>39976</v>
      </c>
      <c r="E1120" s="3">
        <v>133179</v>
      </c>
    </row>
    <row r="1121" spans="3:5" ht="18" customHeight="1">
      <c r="C1121" s="3">
        <v>51071</v>
      </c>
      <c r="E1121" s="3">
        <v>133180</v>
      </c>
    </row>
    <row r="1122" spans="3:5" ht="18" customHeight="1">
      <c r="C1122" s="3">
        <v>80135</v>
      </c>
      <c r="E1122" s="3">
        <v>171080</v>
      </c>
    </row>
    <row r="1123" spans="3:5" ht="18" customHeight="1">
      <c r="C1123" s="3">
        <v>80136</v>
      </c>
      <c r="E1123" s="3">
        <v>80649</v>
      </c>
    </row>
    <row r="1124" spans="3:5" ht="18" customHeight="1">
      <c r="C1124" s="3">
        <v>73329</v>
      </c>
      <c r="E1124" s="3">
        <v>50038</v>
      </c>
    </row>
    <row r="1125" spans="3:5" ht="18" customHeight="1">
      <c r="C1125" s="3">
        <v>175664</v>
      </c>
      <c r="E1125" s="3">
        <v>50039</v>
      </c>
    </row>
    <row r="1126" spans="3:5" ht="18" customHeight="1">
      <c r="C1126" s="3">
        <v>175665</v>
      </c>
      <c r="E1126" s="3">
        <v>50040</v>
      </c>
    </row>
    <row r="1127" spans="3:5" ht="18" customHeight="1">
      <c r="C1127" s="3">
        <v>175666</v>
      </c>
      <c r="E1127" s="3">
        <v>6716</v>
      </c>
    </row>
    <row r="1128" spans="3:5" ht="18" customHeight="1">
      <c r="C1128" s="3">
        <v>11161</v>
      </c>
      <c r="E1128" s="3">
        <v>6717</v>
      </c>
    </row>
    <row r="1129" spans="3:5" ht="18" customHeight="1">
      <c r="C1129" s="3">
        <v>167</v>
      </c>
      <c r="E1129" s="3">
        <v>159597</v>
      </c>
    </row>
    <row r="1130" spans="3:5" ht="18" customHeight="1">
      <c r="C1130" s="3">
        <v>80225</v>
      </c>
      <c r="E1130" s="3">
        <v>38628</v>
      </c>
    </row>
    <row r="1131" spans="3:5" ht="18" customHeight="1">
      <c r="C1131" s="3">
        <v>86720</v>
      </c>
      <c r="E1131" s="3">
        <v>159598</v>
      </c>
    </row>
    <row r="1132" spans="3:5" ht="18" customHeight="1">
      <c r="C1132" s="3">
        <v>175699</v>
      </c>
      <c r="E1132" s="3">
        <v>50041</v>
      </c>
    </row>
    <row r="1133" spans="3:5" ht="18" customHeight="1">
      <c r="C1133" s="3">
        <v>67292</v>
      </c>
      <c r="E1133" s="3">
        <v>171081</v>
      </c>
    </row>
    <row r="1134" spans="3:5" ht="18" customHeight="1">
      <c r="C1134" s="3">
        <v>67286</v>
      </c>
      <c r="E1134" s="3">
        <v>50042</v>
      </c>
    </row>
    <row r="1135" spans="3:5" ht="18" customHeight="1">
      <c r="C1135" s="3">
        <v>67287</v>
      </c>
      <c r="E1135" s="3">
        <v>50043</v>
      </c>
    </row>
    <row r="1136" spans="3:5" ht="18" customHeight="1">
      <c r="C1136" s="3">
        <v>175704</v>
      </c>
      <c r="E1136" s="3">
        <v>171082</v>
      </c>
    </row>
    <row r="1137" spans="3:5" ht="18" customHeight="1">
      <c r="C1137" s="3">
        <v>51168</v>
      </c>
      <c r="E1137" s="3">
        <v>171083</v>
      </c>
    </row>
    <row r="1138" spans="3:5" ht="18" customHeight="1">
      <c r="C1138" s="3">
        <v>51167</v>
      </c>
      <c r="E1138" s="3">
        <v>50044</v>
      </c>
    </row>
    <row r="1139" spans="3:5" ht="18" customHeight="1">
      <c r="C1139" s="3">
        <v>64069</v>
      </c>
      <c r="E1139" s="3">
        <v>50045</v>
      </c>
    </row>
    <row r="1140" spans="3:5" ht="18" customHeight="1">
      <c r="C1140" s="3">
        <v>58317</v>
      </c>
      <c r="E1140" s="3">
        <v>171084</v>
      </c>
    </row>
    <row r="1141" spans="3:5" ht="18" customHeight="1">
      <c r="C1141" s="3">
        <v>58322</v>
      </c>
      <c r="E1141" s="3">
        <v>50046</v>
      </c>
    </row>
    <row r="1142" spans="3:5" ht="18" customHeight="1">
      <c r="C1142" s="3">
        <v>11209</v>
      </c>
      <c r="E1142" s="3">
        <v>50047</v>
      </c>
    </row>
    <row r="1143" spans="3:5" ht="18" customHeight="1">
      <c r="C1143" s="3">
        <v>44992</v>
      </c>
      <c r="E1143" s="3">
        <v>50048</v>
      </c>
    </row>
    <row r="1144" spans="3:5" ht="18" customHeight="1">
      <c r="C1144" s="3">
        <v>51199</v>
      </c>
      <c r="E1144" s="3">
        <v>50049</v>
      </c>
    </row>
    <row r="1145" spans="3:5" ht="18" customHeight="1">
      <c r="C1145" s="3">
        <v>64061</v>
      </c>
      <c r="E1145" s="3">
        <v>50050</v>
      </c>
    </row>
    <row r="1146" spans="3:5" ht="18" customHeight="1">
      <c r="C1146" s="3">
        <v>80216</v>
      </c>
      <c r="E1146" s="3">
        <v>80650</v>
      </c>
    </row>
    <row r="1147" spans="3:5" ht="18" customHeight="1">
      <c r="C1147" s="3">
        <v>11211</v>
      </c>
      <c r="E1147" s="3">
        <v>50051</v>
      </c>
    </row>
    <row r="1148" spans="3:5" ht="18" customHeight="1">
      <c r="C1148" s="3">
        <v>64052</v>
      </c>
      <c r="E1148" s="3">
        <v>50052</v>
      </c>
    </row>
    <row r="1149" spans="3:5" ht="18" customHeight="1">
      <c r="C1149" s="3">
        <v>175701</v>
      </c>
      <c r="E1149" s="3">
        <v>50053</v>
      </c>
    </row>
    <row r="1150" spans="3:5" ht="18" customHeight="1">
      <c r="C1150" s="3">
        <v>175702</v>
      </c>
      <c r="E1150" s="3">
        <v>147906</v>
      </c>
    </row>
    <row r="1151" spans="3:5" ht="18" customHeight="1">
      <c r="C1151" s="3">
        <v>175703</v>
      </c>
      <c r="E1151" s="3">
        <v>6718</v>
      </c>
    </row>
    <row r="1152" spans="3:5" ht="18" customHeight="1">
      <c r="C1152" s="3">
        <v>56091</v>
      </c>
      <c r="E1152" s="3">
        <v>6719</v>
      </c>
    </row>
    <row r="1153" spans="3:5" ht="18" customHeight="1">
      <c r="C1153" s="3">
        <v>71509</v>
      </c>
      <c r="E1153" s="3">
        <v>177129</v>
      </c>
    </row>
    <row r="1154" spans="3:5" ht="18" customHeight="1">
      <c r="C1154" s="3">
        <v>56088</v>
      </c>
      <c r="E1154" s="3">
        <v>6038</v>
      </c>
    </row>
    <row r="1155" spans="3:5" ht="18" customHeight="1">
      <c r="C1155" s="3">
        <v>168074</v>
      </c>
      <c r="E1155" s="3">
        <v>63676</v>
      </c>
    </row>
    <row r="1156" spans="3:5" ht="18" customHeight="1">
      <c r="C1156" s="3">
        <v>11210</v>
      </c>
      <c r="E1156" s="3">
        <v>63677</v>
      </c>
    </row>
    <row r="1157" spans="3:5" ht="18" customHeight="1">
      <c r="C1157" s="3">
        <v>56090</v>
      </c>
      <c r="E1157" s="3">
        <v>63678</v>
      </c>
    </row>
    <row r="1158" spans="3:5" ht="18" customHeight="1">
      <c r="C1158" s="3">
        <v>56092</v>
      </c>
      <c r="E1158" s="3">
        <v>63680</v>
      </c>
    </row>
    <row r="1159" spans="3:5" ht="18" customHeight="1">
      <c r="C1159" s="3">
        <v>11180</v>
      </c>
      <c r="E1159" s="3">
        <v>63679</v>
      </c>
    </row>
    <row r="1160" spans="3:5" ht="18" customHeight="1">
      <c r="C1160" s="3">
        <v>51268</v>
      </c>
      <c r="E1160" s="3">
        <v>63722</v>
      </c>
    </row>
    <row r="1161" spans="3:5" ht="18" customHeight="1">
      <c r="C1161" s="3">
        <v>58319</v>
      </c>
      <c r="E1161" s="3">
        <v>26428</v>
      </c>
    </row>
    <row r="1162" spans="3:5" ht="18" customHeight="1">
      <c r="C1162" s="3">
        <v>58320</v>
      </c>
      <c r="E1162" s="3">
        <v>6728</v>
      </c>
    </row>
    <row r="1163" spans="3:5" ht="18" customHeight="1">
      <c r="C1163" s="3">
        <v>58321</v>
      </c>
      <c r="E1163" s="3">
        <v>63732</v>
      </c>
    </row>
    <row r="1164" spans="3:5" ht="18" customHeight="1">
      <c r="C1164" s="3">
        <v>61839</v>
      </c>
      <c r="E1164" s="3">
        <v>63733</v>
      </c>
    </row>
    <row r="1165" spans="3:5" ht="18" customHeight="1">
      <c r="C1165" s="3">
        <v>11175</v>
      </c>
      <c r="E1165" s="3">
        <v>86878</v>
      </c>
    </row>
    <row r="1166" spans="3:5" ht="18" customHeight="1">
      <c r="C1166" s="3">
        <v>61816</v>
      </c>
      <c r="E1166" s="3">
        <v>63734</v>
      </c>
    </row>
    <row r="1167" spans="3:5" ht="18" customHeight="1">
      <c r="C1167" s="3">
        <v>175710</v>
      </c>
      <c r="E1167" s="3">
        <v>63735</v>
      </c>
    </row>
    <row r="1168" spans="3:5" ht="18" customHeight="1">
      <c r="C1168" s="3">
        <v>58297</v>
      </c>
      <c r="E1168" s="3">
        <v>80758</v>
      </c>
    </row>
    <row r="1169" spans="3:5" ht="18" customHeight="1">
      <c r="C1169" s="3">
        <v>101270</v>
      </c>
      <c r="E1169" s="3">
        <v>80759</v>
      </c>
    </row>
    <row r="1170" spans="3:5" ht="18" customHeight="1">
      <c r="C1170" s="3">
        <v>67262</v>
      </c>
      <c r="E1170" s="3">
        <v>80760</v>
      </c>
    </row>
    <row r="1171" spans="3:5" ht="18" customHeight="1">
      <c r="C1171" s="3">
        <v>44999</v>
      </c>
      <c r="E1171" s="3">
        <v>84150</v>
      </c>
    </row>
    <row r="1172" spans="3:5" ht="18" customHeight="1">
      <c r="C1172" s="3">
        <v>45002</v>
      </c>
      <c r="E1172" s="3">
        <v>84151</v>
      </c>
    </row>
    <row r="1173" spans="3:5" ht="18" customHeight="1">
      <c r="C1173" s="3">
        <v>61840</v>
      </c>
      <c r="E1173" s="3">
        <v>84152</v>
      </c>
    </row>
    <row r="1174" spans="3:5" ht="18" customHeight="1">
      <c r="C1174" s="3">
        <v>99269</v>
      </c>
      <c r="E1174" s="3">
        <v>63739</v>
      </c>
    </row>
    <row r="1175" spans="3:5" ht="18" customHeight="1">
      <c r="C1175" s="3">
        <v>11183</v>
      </c>
      <c r="E1175" s="3">
        <v>80761</v>
      </c>
    </row>
    <row r="1176" spans="3:5" ht="18" customHeight="1">
      <c r="C1176" s="3">
        <v>175709</v>
      </c>
      <c r="E1176" s="3">
        <v>80762</v>
      </c>
    </row>
    <row r="1177" spans="3:5" ht="18" customHeight="1">
      <c r="C1177" s="3">
        <v>44995</v>
      </c>
      <c r="E1177" s="3">
        <v>80763</v>
      </c>
    </row>
    <row r="1178" spans="3:5" ht="18" customHeight="1">
      <c r="C1178" s="3">
        <v>44996</v>
      </c>
      <c r="E1178" s="3">
        <v>80764</v>
      </c>
    </row>
    <row r="1179" spans="3:5" ht="18" customHeight="1">
      <c r="C1179" s="3">
        <v>25321</v>
      </c>
      <c r="E1179" s="3">
        <v>63740</v>
      </c>
    </row>
    <row r="1180" spans="3:5" ht="18" customHeight="1">
      <c r="C1180" s="3">
        <v>51052</v>
      </c>
      <c r="E1180" s="3">
        <v>63741</v>
      </c>
    </row>
    <row r="1181" spans="3:5" ht="18" customHeight="1">
      <c r="C1181" s="3">
        <v>158845</v>
      </c>
      <c r="E1181" s="3">
        <v>63742</v>
      </c>
    </row>
    <row r="1182" spans="3:5" ht="18" customHeight="1">
      <c r="C1182" s="3">
        <v>168068</v>
      </c>
      <c r="E1182" s="3">
        <v>63743</v>
      </c>
    </row>
    <row r="1183" spans="3:5" ht="18" customHeight="1">
      <c r="C1183" s="3">
        <v>99231</v>
      </c>
      <c r="E1183" s="3">
        <v>181476</v>
      </c>
    </row>
    <row r="1184" spans="3:5" ht="18" customHeight="1">
      <c r="C1184" s="3">
        <v>175688</v>
      </c>
      <c r="E1184" s="3">
        <v>80765</v>
      </c>
    </row>
    <row r="1185" spans="3:5" ht="18" customHeight="1">
      <c r="C1185" s="3">
        <v>11205</v>
      </c>
      <c r="E1185" s="3">
        <v>98060</v>
      </c>
    </row>
    <row r="1186" spans="3:5" ht="18" customHeight="1">
      <c r="C1186" s="3">
        <v>156545</v>
      </c>
      <c r="E1186" s="3">
        <v>98061</v>
      </c>
    </row>
    <row r="1187" spans="3:5" ht="18" customHeight="1">
      <c r="C1187" s="3">
        <v>16191</v>
      </c>
      <c r="E1187" s="3">
        <v>98062</v>
      </c>
    </row>
    <row r="1188" spans="3:5" ht="18" customHeight="1">
      <c r="C1188" s="3">
        <v>99319</v>
      </c>
      <c r="E1188" s="3">
        <v>98063</v>
      </c>
    </row>
    <row r="1189" spans="3:5" ht="18" customHeight="1">
      <c r="C1189" s="3">
        <v>11202</v>
      </c>
      <c r="E1189" s="3">
        <v>98064</v>
      </c>
    </row>
    <row r="1190" spans="3:5" ht="18" customHeight="1">
      <c r="C1190" s="3">
        <v>86728</v>
      </c>
      <c r="E1190" s="3">
        <v>80766</v>
      </c>
    </row>
    <row r="1191" spans="3:5" ht="18" customHeight="1">
      <c r="C1191" s="3">
        <v>73452</v>
      </c>
      <c r="E1191" s="3">
        <v>50054</v>
      </c>
    </row>
    <row r="1192" spans="3:5" ht="18" customHeight="1">
      <c r="C1192" s="3">
        <v>16204</v>
      </c>
      <c r="E1192" s="3">
        <v>50056</v>
      </c>
    </row>
    <row r="1193" spans="3:5" ht="18" customHeight="1">
      <c r="C1193" s="3">
        <v>175682</v>
      </c>
      <c r="E1193" s="3">
        <v>50058</v>
      </c>
    </row>
    <row r="1194" spans="3:5" ht="18" customHeight="1">
      <c r="C1194" s="3">
        <v>175705</v>
      </c>
      <c r="E1194" s="3">
        <v>50059</v>
      </c>
    </row>
    <row r="1195" spans="3:5" ht="18" customHeight="1">
      <c r="C1195" s="3">
        <v>175685</v>
      </c>
      <c r="E1195" s="3">
        <v>50060</v>
      </c>
    </row>
    <row r="1196" spans="3:5" ht="18" customHeight="1">
      <c r="C1196" s="3">
        <v>182087</v>
      </c>
      <c r="E1196" s="3">
        <v>50061</v>
      </c>
    </row>
    <row r="1197" spans="3:5" ht="18" customHeight="1">
      <c r="C1197" s="3">
        <v>11197</v>
      </c>
      <c r="E1197" s="3">
        <v>50062</v>
      </c>
    </row>
    <row r="1198" spans="3:5" ht="18" customHeight="1">
      <c r="C1198" s="3">
        <v>175686</v>
      </c>
      <c r="E1198" s="3">
        <v>50063</v>
      </c>
    </row>
    <row r="1199" spans="3:5" ht="18" customHeight="1">
      <c r="C1199" s="3">
        <v>51288</v>
      </c>
      <c r="E1199" s="3">
        <v>50064</v>
      </c>
    </row>
    <row r="1200" spans="3:5" ht="18" customHeight="1">
      <c r="C1200" s="3">
        <v>101356</v>
      </c>
      <c r="E1200" s="3">
        <v>66468</v>
      </c>
    </row>
    <row r="1201" spans="3:5" ht="18" customHeight="1">
      <c r="C1201" s="3">
        <v>51328</v>
      </c>
      <c r="E1201" s="3">
        <v>66469</v>
      </c>
    </row>
    <row r="1202" spans="3:5" ht="18" customHeight="1">
      <c r="C1202" s="3">
        <v>16211</v>
      </c>
      <c r="E1202" s="3">
        <v>80769</v>
      </c>
    </row>
    <row r="1203" spans="3:5" ht="18" customHeight="1">
      <c r="C1203" s="3">
        <v>170601</v>
      </c>
      <c r="E1203" s="3">
        <v>80770</v>
      </c>
    </row>
    <row r="1204" spans="3:5" ht="18" customHeight="1">
      <c r="C1204" s="3">
        <v>170599</v>
      </c>
      <c r="E1204" s="3">
        <v>63738</v>
      </c>
    </row>
    <row r="1205" spans="3:5" ht="18" customHeight="1">
      <c r="C1205" s="3">
        <v>175689</v>
      </c>
      <c r="E1205" s="3">
        <v>80767</v>
      </c>
    </row>
    <row r="1206" spans="3:5" ht="18" customHeight="1">
      <c r="C1206" s="3">
        <v>158911</v>
      </c>
      <c r="E1206" s="3">
        <v>80768</v>
      </c>
    </row>
    <row r="1207" spans="3:5" ht="18" customHeight="1">
      <c r="C1207" s="3">
        <v>3783</v>
      </c>
      <c r="E1207" s="3">
        <v>66470</v>
      </c>
    </row>
    <row r="1208" spans="3:5" ht="18" customHeight="1">
      <c r="C1208" s="3">
        <v>80015</v>
      </c>
      <c r="E1208" s="3">
        <v>6737</v>
      </c>
    </row>
    <row r="1209" spans="3:5" ht="18" customHeight="1">
      <c r="C1209" s="3">
        <v>41859</v>
      </c>
      <c r="E1209" s="3">
        <v>26429</v>
      </c>
    </row>
    <row r="1210" spans="3:5" ht="18" customHeight="1">
      <c r="C1210" s="3">
        <v>3768</v>
      </c>
      <c r="E1210" s="3">
        <v>63723</v>
      </c>
    </row>
    <row r="1211" spans="3:5" ht="18" customHeight="1">
      <c r="C1211" s="3">
        <v>11226</v>
      </c>
      <c r="E1211" s="3">
        <v>63724</v>
      </c>
    </row>
    <row r="1212" spans="3:5" ht="18" customHeight="1">
      <c r="C1212" s="3">
        <v>158906</v>
      </c>
      <c r="E1212" s="3">
        <v>63725</v>
      </c>
    </row>
    <row r="1213" spans="3:5" ht="18" customHeight="1">
      <c r="C1213" s="3">
        <v>80356</v>
      </c>
      <c r="E1213" s="3">
        <v>63726</v>
      </c>
    </row>
    <row r="1214" spans="3:5" ht="18" customHeight="1">
      <c r="C1214" s="3">
        <v>185</v>
      </c>
      <c r="E1214" s="3">
        <v>63727</v>
      </c>
    </row>
    <row r="1215" spans="3:5" ht="18" customHeight="1">
      <c r="C1215" s="3">
        <v>182</v>
      </c>
      <c r="E1215" s="3">
        <v>31269</v>
      </c>
    </row>
    <row r="1216" spans="3:5" ht="18" customHeight="1">
      <c r="C1216" s="3">
        <v>3516</v>
      </c>
      <c r="E1216" s="3">
        <v>80651</v>
      </c>
    </row>
    <row r="1217" spans="3:5" ht="18" customHeight="1">
      <c r="C1217" s="3">
        <v>162075</v>
      </c>
      <c r="E1217" s="3">
        <v>80652</v>
      </c>
    </row>
    <row r="1218" spans="3:5" ht="18" customHeight="1">
      <c r="C1218" s="3">
        <v>175690</v>
      </c>
      <c r="E1218" s="3">
        <v>80653</v>
      </c>
    </row>
    <row r="1219" spans="3:5" ht="18" customHeight="1">
      <c r="C1219" s="3">
        <v>14906</v>
      </c>
      <c r="E1219" s="3">
        <v>63684</v>
      </c>
    </row>
    <row r="1220" spans="3:5" ht="18" customHeight="1">
      <c r="C1220" s="3">
        <v>4193</v>
      </c>
      <c r="E1220" s="3">
        <v>63685</v>
      </c>
    </row>
    <row r="1221" spans="3:5" ht="18" customHeight="1">
      <c r="C1221" s="3">
        <v>51104</v>
      </c>
      <c r="E1221" s="3">
        <v>63686</v>
      </c>
    </row>
    <row r="1222" spans="3:5" ht="18" customHeight="1">
      <c r="C1222" s="3">
        <v>51100</v>
      </c>
      <c r="E1222" s="3">
        <v>31270</v>
      </c>
    </row>
    <row r="1223" spans="3:5" ht="18" customHeight="1">
      <c r="C1223" s="3">
        <v>40176</v>
      </c>
      <c r="E1223" s="3">
        <v>63728</v>
      </c>
    </row>
    <row r="1224" spans="3:5" ht="18" customHeight="1">
      <c r="C1224" s="3">
        <v>42305</v>
      </c>
      <c r="E1224" s="3">
        <v>63729</v>
      </c>
    </row>
    <row r="1225" spans="3:5" ht="18" customHeight="1">
      <c r="C1225" s="3">
        <v>40177</v>
      </c>
      <c r="E1225" s="3">
        <v>63730</v>
      </c>
    </row>
    <row r="1226" spans="3:5" ht="18" customHeight="1">
      <c r="C1226" s="3">
        <v>52539</v>
      </c>
      <c r="E1226" s="3">
        <v>63731</v>
      </c>
    </row>
    <row r="1227" spans="3:5" ht="18" customHeight="1">
      <c r="C1227" s="3">
        <v>45090</v>
      </c>
      <c r="E1227" s="3">
        <v>26434</v>
      </c>
    </row>
    <row r="1228" spans="3:5" ht="18" customHeight="1">
      <c r="C1228" s="3">
        <v>51330</v>
      </c>
      <c r="E1228" s="3">
        <v>66466</v>
      </c>
    </row>
    <row r="1229" spans="3:5" ht="18" customHeight="1">
      <c r="C1229" s="3">
        <v>42306</v>
      </c>
      <c r="E1229" s="3">
        <v>6723</v>
      </c>
    </row>
    <row r="1230" spans="3:5" ht="18" customHeight="1">
      <c r="C1230" s="3">
        <v>40134</v>
      </c>
      <c r="E1230" s="3">
        <v>133221</v>
      </c>
    </row>
    <row r="1231" spans="3:5" ht="18" customHeight="1">
      <c r="C1231" s="3">
        <v>31579</v>
      </c>
      <c r="E1231" s="3">
        <v>63682</v>
      </c>
    </row>
    <row r="1232" spans="3:5" ht="18" customHeight="1">
      <c r="C1232" s="3">
        <v>176976</v>
      </c>
      <c r="E1232" s="3">
        <v>6724</v>
      </c>
    </row>
    <row r="1233" spans="3:5" ht="18" customHeight="1">
      <c r="C1233" s="3">
        <v>182174</v>
      </c>
      <c r="E1233" s="3">
        <v>42590</v>
      </c>
    </row>
    <row r="1234" spans="3:5" ht="18" customHeight="1">
      <c r="C1234" s="3">
        <v>182175</v>
      </c>
      <c r="E1234" s="3">
        <v>42591</v>
      </c>
    </row>
    <row r="1235" spans="3:5" ht="18" customHeight="1">
      <c r="C1235" s="3">
        <v>156597</v>
      </c>
      <c r="E1235" s="3">
        <v>42592</v>
      </c>
    </row>
    <row r="1236" spans="3:5" ht="18" customHeight="1">
      <c r="C1236" s="3">
        <v>156595</v>
      </c>
      <c r="E1236" s="3">
        <v>6725</v>
      </c>
    </row>
    <row r="1237" spans="3:5" ht="18" customHeight="1">
      <c r="C1237" s="3">
        <v>38583</v>
      </c>
      <c r="E1237" s="3">
        <v>6726</v>
      </c>
    </row>
    <row r="1238" spans="3:5" ht="18" customHeight="1">
      <c r="C1238" s="3">
        <v>48751</v>
      </c>
      <c r="E1238" s="3">
        <v>133220</v>
      </c>
    </row>
    <row r="1239" spans="3:5" ht="18" customHeight="1">
      <c r="C1239" s="3">
        <v>48752</v>
      </c>
      <c r="E1239" s="3">
        <v>46105</v>
      </c>
    </row>
    <row r="1240" spans="3:5" ht="18" customHeight="1">
      <c r="C1240" s="3">
        <v>31583</v>
      </c>
      <c r="E1240" s="3">
        <v>1295</v>
      </c>
    </row>
    <row r="1241" spans="3:5" ht="18" customHeight="1">
      <c r="C1241" s="3">
        <v>48750</v>
      </c>
      <c r="E1241" s="3">
        <v>90983</v>
      </c>
    </row>
    <row r="1242" spans="3:5" ht="18" customHeight="1">
      <c r="C1242" s="3">
        <v>183068</v>
      </c>
      <c r="E1242" s="3">
        <v>100469</v>
      </c>
    </row>
    <row r="1243" spans="3:5" ht="18" customHeight="1">
      <c r="C1243" s="3">
        <v>183069</v>
      </c>
      <c r="E1243" s="3">
        <v>90984</v>
      </c>
    </row>
    <row r="1244" spans="3:5" ht="18" customHeight="1">
      <c r="C1244" s="3">
        <v>183071</v>
      </c>
      <c r="E1244" s="3">
        <v>100470</v>
      </c>
    </row>
    <row r="1245" spans="3:5" ht="18" customHeight="1">
      <c r="C1245" s="3">
        <v>112529</v>
      </c>
      <c r="E1245" s="3">
        <v>90985</v>
      </c>
    </row>
    <row r="1246" spans="3:5" ht="18" customHeight="1">
      <c r="C1246" s="3">
        <v>73839</v>
      </c>
      <c r="E1246" s="3">
        <v>90986</v>
      </c>
    </row>
    <row r="1247" spans="3:5" ht="18" customHeight="1">
      <c r="C1247" s="3">
        <v>15053</v>
      </c>
      <c r="E1247" s="3">
        <v>6720</v>
      </c>
    </row>
    <row r="1248" spans="3:5" ht="18" customHeight="1">
      <c r="C1248" s="3">
        <v>15054</v>
      </c>
      <c r="E1248" s="3">
        <v>42593</v>
      </c>
    </row>
    <row r="1249" spans="3:5" ht="18" customHeight="1">
      <c r="C1249" s="3">
        <v>15056</v>
      </c>
      <c r="E1249" s="3">
        <v>6721</v>
      </c>
    </row>
    <row r="1250" spans="3:5" ht="18" customHeight="1">
      <c r="C1250" s="3">
        <v>96954</v>
      </c>
      <c r="E1250" s="3">
        <v>42594</v>
      </c>
    </row>
    <row r="1251" spans="3:5" ht="18" customHeight="1">
      <c r="C1251" s="3">
        <v>109256</v>
      </c>
      <c r="E1251" s="3">
        <v>6722</v>
      </c>
    </row>
    <row r="1252" spans="3:5" ht="18" customHeight="1">
      <c r="C1252" s="3">
        <v>48626</v>
      </c>
      <c r="E1252" s="3">
        <v>42595</v>
      </c>
    </row>
    <row r="1253" spans="3:5" ht="18" customHeight="1">
      <c r="C1253" s="3">
        <v>163769</v>
      </c>
      <c r="E1253" s="3">
        <v>42596</v>
      </c>
    </row>
    <row r="1254" spans="3:5" ht="18" customHeight="1">
      <c r="C1254" s="3">
        <v>3281</v>
      </c>
      <c r="E1254" s="3">
        <v>42597</v>
      </c>
    </row>
    <row r="1255" spans="3:5" ht="18" customHeight="1">
      <c r="C1255" s="3">
        <v>11071</v>
      </c>
      <c r="E1255" s="3">
        <v>42598</v>
      </c>
    </row>
    <row r="1256" spans="3:5" ht="18" customHeight="1">
      <c r="C1256" s="3">
        <v>39804</v>
      </c>
      <c r="E1256" s="3">
        <v>42599</v>
      </c>
    </row>
    <row r="1257" spans="3:5" ht="18" customHeight="1">
      <c r="C1257" s="3">
        <v>175711</v>
      </c>
      <c r="E1257" s="3">
        <v>6736</v>
      </c>
    </row>
    <row r="1258" spans="3:5" ht="18" customHeight="1">
      <c r="C1258" s="3">
        <v>11725</v>
      </c>
      <c r="E1258" s="3">
        <v>173665</v>
      </c>
    </row>
    <row r="1259" spans="3:5" ht="18" customHeight="1">
      <c r="C1259" s="3">
        <v>14970</v>
      </c>
      <c r="E1259" s="3">
        <v>66467</v>
      </c>
    </row>
    <row r="1260" spans="3:5" ht="18" customHeight="1">
      <c r="C1260" s="3">
        <v>48645</v>
      </c>
      <c r="E1260" s="3">
        <v>6028</v>
      </c>
    </row>
    <row r="1261" spans="3:5" ht="18" customHeight="1">
      <c r="C1261" s="3">
        <v>14971</v>
      </c>
      <c r="E1261" s="3">
        <v>43962</v>
      </c>
    </row>
    <row r="1262" spans="3:5" ht="18" customHeight="1">
      <c r="C1262" s="3">
        <v>4787</v>
      </c>
      <c r="E1262" s="3">
        <v>178946</v>
      </c>
    </row>
    <row r="1263" spans="3:5" ht="18" customHeight="1">
      <c r="C1263" s="3">
        <v>3271</v>
      </c>
      <c r="E1263" s="3">
        <v>43981</v>
      </c>
    </row>
    <row r="1264" spans="3:5" ht="18" customHeight="1">
      <c r="C1264" s="3">
        <v>4786</v>
      </c>
      <c r="E1264" s="3">
        <v>43963</v>
      </c>
    </row>
    <row r="1265" spans="3:5" ht="18" customHeight="1">
      <c r="C1265" s="3">
        <v>22635</v>
      </c>
      <c r="E1265" s="3">
        <v>178916</v>
      </c>
    </row>
    <row r="1266" spans="3:5" ht="18" customHeight="1">
      <c r="C1266" s="3">
        <v>48647</v>
      </c>
      <c r="E1266" s="3">
        <v>178917</v>
      </c>
    </row>
    <row r="1267" spans="3:5" ht="18" customHeight="1">
      <c r="C1267" s="3">
        <v>175708</v>
      </c>
      <c r="E1267" s="3">
        <v>43973</v>
      </c>
    </row>
    <row r="1268" spans="3:5" ht="18" customHeight="1">
      <c r="C1268" s="3">
        <v>175707</v>
      </c>
      <c r="E1268" s="3">
        <v>43964</v>
      </c>
    </row>
    <row r="1269" spans="3:5" ht="18" customHeight="1">
      <c r="C1269" s="3">
        <v>81741</v>
      </c>
      <c r="E1269" s="3">
        <v>43966</v>
      </c>
    </row>
    <row r="1270" spans="3:5" ht="18" customHeight="1">
      <c r="C1270" s="3">
        <v>14990</v>
      </c>
      <c r="E1270" s="3">
        <v>43967</v>
      </c>
    </row>
    <row r="1271" spans="3:5" ht="18" customHeight="1">
      <c r="C1271" s="3">
        <v>22610</v>
      </c>
      <c r="E1271" s="3">
        <v>43968</v>
      </c>
    </row>
    <row r="1272" spans="3:5" ht="18" customHeight="1">
      <c r="C1272" s="3">
        <v>14981</v>
      </c>
      <c r="E1272" s="3">
        <v>43969</v>
      </c>
    </row>
    <row r="1273" spans="3:5" ht="18" customHeight="1">
      <c r="C1273" s="3">
        <v>72406</v>
      </c>
      <c r="E1273" s="3">
        <v>43970</v>
      </c>
    </row>
    <row r="1274" spans="3:5" ht="18" customHeight="1">
      <c r="C1274" s="3">
        <v>168058</v>
      </c>
      <c r="E1274" s="3">
        <v>178918</v>
      </c>
    </row>
    <row r="1275" spans="3:5" ht="18" customHeight="1">
      <c r="C1275" s="3">
        <v>96969</v>
      </c>
      <c r="E1275" s="3">
        <v>43971</v>
      </c>
    </row>
    <row r="1276" spans="3:5" ht="18" customHeight="1">
      <c r="C1276" s="3">
        <v>163829</v>
      </c>
      <c r="E1276" s="3">
        <v>178919</v>
      </c>
    </row>
    <row r="1277" spans="3:5" ht="18" customHeight="1">
      <c r="C1277" s="3">
        <v>156955</v>
      </c>
      <c r="E1277" s="3">
        <v>178920</v>
      </c>
    </row>
    <row r="1278" spans="3:5" ht="18" customHeight="1">
      <c r="C1278" s="3">
        <v>73335</v>
      </c>
      <c r="E1278" s="3">
        <v>178921</v>
      </c>
    </row>
    <row r="1279" spans="3:5" ht="18" customHeight="1">
      <c r="C1279" s="3">
        <v>75390</v>
      </c>
      <c r="E1279" s="3">
        <v>178922</v>
      </c>
    </row>
    <row r="1280" spans="3:5" ht="18" customHeight="1">
      <c r="C1280" s="3">
        <v>94830</v>
      </c>
      <c r="E1280" s="3">
        <v>178923</v>
      </c>
    </row>
    <row r="1281" spans="3:5" ht="18" customHeight="1">
      <c r="C1281" s="3">
        <v>75389</v>
      </c>
      <c r="E1281" s="3">
        <v>178924</v>
      </c>
    </row>
    <row r="1282" spans="3:5" ht="18" customHeight="1">
      <c r="C1282" s="3">
        <v>71530</v>
      </c>
      <c r="E1282" s="3">
        <v>178925</v>
      </c>
    </row>
    <row r="1283" spans="3:5" ht="18" customHeight="1">
      <c r="C1283" s="3">
        <v>60203</v>
      </c>
      <c r="E1283" s="3">
        <v>178926</v>
      </c>
    </row>
    <row r="1284" spans="3:5" ht="18" customHeight="1">
      <c r="C1284" s="3">
        <v>18795</v>
      </c>
      <c r="E1284" s="3">
        <v>178927</v>
      </c>
    </row>
    <row r="1285" spans="3:5" ht="18" customHeight="1">
      <c r="C1285" s="3">
        <v>39754</v>
      </c>
      <c r="E1285" s="3">
        <v>178928</v>
      </c>
    </row>
    <row r="1286" spans="3:5" ht="18" customHeight="1">
      <c r="C1286" s="3">
        <v>39746</v>
      </c>
      <c r="E1286" s="3">
        <v>178929</v>
      </c>
    </row>
    <row r="1287" spans="3:5" ht="18" customHeight="1">
      <c r="C1287" s="3">
        <v>14936</v>
      </c>
      <c r="E1287" s="3">
        <v>178930</v>
      </c>
    </row>
    <row r="1288" spans="3:5" ht="18" customHeight="1">
      <c r="C1288" s="3">
        <v>18805</v>
      </c>
      <c r="E1288" s="3">
        <v>178931</v>
      </c>
    </row>
    <row r="1289" spans="3:5" ht="18" customHeight="1">
      <c r="C1289" s="3">
        <v>79839</v>
      </c>
      <c r="E1289" s="3">
        <v>178932</v>
      </c>
    </row>
    <row r="1290" spans="3:5" ht="18" customHeight="1">
      <c r="C1290" s="3">
        <v>175717</v>
      </c>
      <c r="E1290" s="3">
        <v>178933</v>
      </c>
    </row>
    <row r="1291" spans="3:5" ht="18" customHeight="1">
      <c r="C1291" s="3">
        <v>175712</v>
      </c>
      <c r="E1291" s="3">
        <v>43975</v>
      </c>
    </row>
    <row r="1292" spans="3:5" ht="18" customHeight="1">
      <c r="C1292" s="3">
        <v>48606</v>
      </c>
      <c r="E1292" s="3">
        <v>43976</v>
      </c>
    </row>
    <row r="1293" spans="3:5" ht="18" customHeight="1">
      <c r="C1293" s="3">
        <v>149976</v>
      </c>
      <c r="E1293" s="3">
        <v>43977</v>
      </c>
    </row>
    <row r="1294" spans="3:5" ht="18" customHeight="1">
      <c r="C1294" s="3">
        <v>79834</v>
      </c>
      <c r="E1294" s="3">
        <v>43978</v>
      </c>
    </row>
    <row r="1295" spans="3:5" ht="18" customHeight="1">
      <c r="C1295" s="3">
        <v>79835</v>
      </c>
      <c r="E1295" s="3">
        <v>178934</v>
      </c>
    </row>
    <row r="1296" spans="3:5" ht="18" customHeight="1">
      <c r="C1296" s="3">
        <v>48605</v>
      </c>
      <c r="E1296" s="3">
        <v>178935</v>
      </c>
    </row>
    <row r="1297" spans="3:5" ht="18" customHeight="1">
      <c r="C1297" s="3">
        <v>71527</v>
      </c>
      <c r="E1297" s="3">
        <v>178936</v>
      </c>
    </row>
    <row r="1298" spans="3:5" ht="18" customHeight="1">
      <c r="C1298" s="3">
        <v>75386</v>
      </c>
      <c r="E1298" s="3">
        <v>178937</v>
      </c>
    </row>
    <row r="1299" spans="3:5" ht="18" customHeight="1">
      <c r="C1299" s="3">
        <v>50549</v>
      </c>
      <c r="E1299" s="3">
        <v>178938</v>
      </c>
    </row>
    <row r="1300" spans="3:5" ht="18" customHeight="1">
      <c r="C1300" s="3">
        <v>85806</v>
      </c>
      <c r="E1300" s="3">
        <v>178939</v>
      </c>
    </row>
    <row r="1301" spans="3:5" ht="18" customHeight="1">
      <c r="C1301" s="3">
        <v>50550</v>
      </c>
      <c r="E1301" s="3">
        <v>178940</v>
      </c>
    </row>
    <row r="1302" spans="3:5" ht="18" customHeight="1">
      <c r="C1302" s="3">
        <v>50551</v>
      </c>
      <c r="E1302" s="3">
        <v>178941</v>
      </c>
    </row>
    <row r="1303" spans="3:5" ht="18" customHeight="1">
      <c r="C1303" s="3">
        <v>94844</v>
      </c>
      <c r="E1303" s="3">
        <v>178942</v>
      </c>
    </row>
    <row r="1304" spans="3:5" ht="18" customHeight="1">
      <c r="C1304" s="3">
        <v>32810</v>
      </c>
      <c r="E1304" s="3">
        <v>43965</v>
      </c>
    </row>
    <row r="1305" spans="3:5" ht="18" customHeight="1">
      <c r="C1305" s="3">
        <v>50564</v>
      </c>
      <c r="E1305" s="3">
        <v>178943</v>
      </c>
    </row>
    <row r="1306" spans="3:5" ht="18" customHeight="1">
      <c r="C1306" s="3">
        <v>67773</v>
      </c>
      <c r="E1306" s="3">
        <v>178944</v>
      </c>
    </row>
    <row r="1307" spans="3:5" ht="18" customHeight="1">
      <c r="C1307" s="3">
        <v>64578</v>
      </c>
      <c r="E1307" s="3">
        <v>178945</v>
      </c>
    </row>
    <row r="1308" spans="3:5" ht="18" customHeight="1">
      <c r="C1308" s="3">
        <v>50552</v>
      </c>
      <c r="E1308" s="3">
        <v>43980</v>
      </c>
    </row>
    <row r="1309" spans="3:5" ht="18" customHeight="1">
      <c r="C1309" s="3">
        <v>168105</v>
      </c>
      <c r="E1309" s="3">
        <v>43982</v>
      </c>
    </row>
    <row r="1310" spans="3:5" ht="18" customHeight="1">
      <c r="C1310" s="3">
        <v>14935</v>
      </c>
      <c r="E1310" s="3">
        <v>43983</v>
      </c>
    </row>
    <row r="1311" spans="3:5" ht="18" customHeight="1">
      <c r="C1311" s="3">
        <v>1498</v>
      </c>
      <c r="E1311" s="3">
        <v>43984</v>
      </c>
    </row>
    <row r="1312" spans="3:5" ht="18" customHeight="1">
      <c r="C1312" s="3">
        <v>50583</v>
      </c>
      <c r="E1312" s="3">
        <v>43972</v>
      </c>
    </row>
    <row r="1313" spans="3:5" ht="18" customHeight="1">
      <c r="C1313" s="3">
        <v>50584</v>
      </c>
      <c r="E1313" s="3">
        <v>50428</v>
      </c>
    </row>
    <row r="1314" spans="3:5" ht="18" customHeight="1">
      <c r="C1314" s="3">
        <v>94879</v>
      </c>
      <c r="E1314" s="3">
        <v>56421</v>
      </c>
    </row>
    <row r="1315" spans="3:5" ht="18" customHeight="1">
      <c r="C1315" s="3">
        <v>14953</v>
      </c>
      <c r="E1315" s="3">
        <v>40013</v>
      </c>
    </row>
    <row r="1316" spans="3:5" ht="18" customHeight="1">
      <c r="C1316" s="3">
        <v>175724</v>
      </c>
      <c r="E1316" s="3">
        <v>50429</v>
      </c>
    </row>
    <row r="1317" spans="3:5" ht="18" customHeight="1">
      <c r="C1317" s="3">
        <v>48638</v>
      </c>
      <c r="E1317" s="3">
        <v>50430</v>
      </c>
    </row>
    <row r="1318" spans="3:5" ht="18" customHeight="1">
      <c r="C1318" s="3">
        <v>48636</v>
      </c>
      <c r="E1318" s="3">
        <v>50431</v>
      </c>
    </row>
    <row r="1319" spans="3:5" ht="18" customHeight="1">
      <c r="C1319" s="3">
        <v>88754</v>
      </c>
      <c r="E1319" s="3">
        <v>50432</v>
      </c>
    </row>
    <row r="1320" spans="3:5" ht="18" customHeight="1">
      <c r="C1320" s="3">
        <v>75395</v>
      </c>
      <c r="E1320" s="3">
        <v>50433</v>
      </c>
    </row>
    <row r="1321" spans="3:5" ht="18" customHeight="1">
      <c r="C1321" s="3">
        <v>48635</v>
      </c>
      <c r="E1321" s="3">
        <v>177126</v>
      </c>
    </row>
    <row r="1322" spans="3:5" ht="18" customHeight="1">
      <c r="C1322" s="3">
        <v>75397</v>
      </c>
      <c r="E1322" s="3">
        <v>50434</v>
      </c>
    </row>
    <row r="1323" spans="3:5" ht="18" customHeight="1">
      <c r="C1323" s="3">
        <v>48637</v>
      </c>
      <c r="E1323" s="3">
        <v>179412</v>
      </c>
    </row>
    <row r="1324" spans="3:5" ht="18" customHeight="1">
      <c r="C1324" s="3">
        <v>163825</v>
      </c>
      <c r="E1324" s="3">
        <v>34352</v>
      </c>
    </row>
    <row r="1325" spans="3:5" ht="18" customHeight="1">
      <c r="C1325" s="3">
        <v>175725</v>
      </c>
      <c r="E1325" s="3">
        <v>56420</v>
      </c>
    </row>
    <row r="1326" spans="3:5" ht="18" customHeight="1">
      <c r="C1326" s="3">
        <v>139968</v>
      </c>
      <c r="E1326" s="3">
        <v>6751</v>
      </c>
    </row>
    <row r="1327" spans="3:5" ht="18" customHeight="1">
      <c r="C1327" s="3">
        <v>15048</v>
      </c>
      <c r="E1327" s="3">
        <v>50424</v>
      </c>
    </row>
    <row r="1328" spans="3:5" ht="18" customHeight="1">
      <c r="C1328" s="3">
        <v>41373</v>
      </c>
      <c r="E1328" s="3">
        <v>50425</v>
      </c>
    </row>
    <row r="1329" spans="3:5" ht="18" customHeight="1">
      <c r="C1329" s="3">
        <v>33929</v>
      </c>
      <c r="E1329" s="3">
        <v>50426</v>
      </c>
    </row>
    <row r="1330" spans="3:5" ht="18" customHeight="1">
      <c r="C1330" s="3">
        <v>175739</v>
      </c>
      <c r="E1330" s="3">
        <v>6749</v>
      </c>
    </row>
    <row r="1331" spans="3:5" ht="18" customHeight="1">
      <c r="C1331" s="3">
        <v>58353</v>
      </c>
      <c r="E1331" s="3">
        <v>6750</v>
      </c>
    </row>
    <row r="1332" spans="3:5" ht="18" customHeight="1">
      <c r="C1332" s="3">
        <v>20034</v>
      </c>
      <c r="E1332" s="3">
        <v>34353</v>
      </c>
    </row>
    <row r="1333" spans="3:5" ht="18" customHeight="1">
      <c r="C1333" s="3">
        <v>84079</v>
      </c>
      <c r="E1333" s="3">
        <v>34354</v>
      </c>
    </row>
    <row r="1334" spans="3:5" ht="18" customHeight="1">
      <c r="C1334" s="3">
        <v>9425</v>
      </c>
      <c r="E1334" s="3">
        <v>50427</v>
      </c>
    </row>
    <row r="1335" spans="3:5" ht="18" customHeight="1">
      <c r="C1335" s="3">
        <v>1503</v>
      </c>
      <c r="E1335" s="3">
        <v>6752</v>
      </c>
    </row>
    <row r="1336" spans="3:5" ht="18" customHeight="1">
      <c r="C1336" s="3">
        <v>48692</v>
      </c>
      <c r="E1336" s="3">
        <v>177125</v>
      </c>
    </row>
    <row r="1337" spans="3:5" ht="18" customHeight="1">
      <c r="C1337" s="3">
        <v>4672</v>
      </c>
      <c r="E1337" s="3">
        <v>34355</v>
      </c>
    </row>
    <row r="1338" spans="3:5" ht="18" customHeight="1">
      <c r="C1338" s="3">
        <v>175731</v>
      </c>
      <c r="E1338" s="3">
        <v>100440</v>
      </c>
    </row>
    <row r="1339" spans="3:5" ht="18" customHeight="1">
      <c r="C1339" s="3">
        <v>175732</v>
      </c>
      <c r="E1339" s="3">
        <v>100441</v>
      </c>
    </row>
    <row r="1340" spans="3:5" ht="18" customHeight="1">
      <c r="C1340" s="3">
        <v>175733</v>
      </c>
      <c r="E1340" s="3">
        <v>100442</v>
      </c>
    </row>
    <row r="1341" spans="3:5" ht="18" customHeight="1">
      <c r="C1341" s="3">
        <v>40054</v>
      </c>
      <c r="E1341" s="3">
        <v>177127</v>
      </c>
    </row>
    <row r="1342" spans="3:5" ht="18" customHeight="1">
      <c r="C1342" s="3">
        <v>163853</v>
      </c>
      <c r="E1342" s="3">
        <v>100443</v>
      </c>
    </row>
    <row r="1343" spans="3:5" ht="18" customHeight="1">
      <c r="C1343" s="3">
        <v>4673</v>
      </c>
      <c r="E1343" s="3">
        <v>100444</v>
      </c>
    </row>
    <row r="1344" spans="3:5" ht="18" customHeight="1">
      <c r="C1344" s="3">
        <v>40065</v>
      </c>
      <c r="E1344" s="3">
        <v>100445</v>
      </c>
    </row>
    <row r="1345" spans="3:5" ht="18" customHeight="1">
      <c r="C1345" s="3">
        <v>4675</v>
      </c>
      <c r="E1345" s="3">
        <v>100446</v>
      </c>
    </row>
    <row r="1346" spans="3:5" ht="18" customHeight="1">
      <c r="C1346" s="3">
        <v>96966</v>
      </c>
      <c r="E1346" s="3">
        <v>100447</v>
      </c>
    </row>
    <row r="1347" spans="3:5" ht="18" customHeight="1">
      <c r="C1347" s="3">
        <v>149987</v>
      </c>
      <c r="E1347" s="3">
        <v>177128</v>
      </c>
    </row>
    <row r="1348" spans="3:5" ht="18" customHeight="1">
      <c r="C1348" s="3">
        <v>40979</v>
      </c>
      <c r="E1348" s="3">
        <v>50435</v>
      </c>
    </row>
    <row r="1349" spans="3:5" ht="18" customHeight="1">
      <c r="C1349" s="3">
        <v>20381</v>
      </c>
      <c r="E1349" s="3">
        <v>50436</v>
      </c>
    </row>
    <row r="1350" spans="3:5" ht="18" customHeight="1">
      <c r="C1350" s="3">
        <v>175735</v>
      </c>
      <c r="E1350" s="3">
        <v>26435</v>
      </c>
    </row>
    <row r="1351" spans="3:5" ht="18" customHeight="1">
      <c r="C1351" s="3">
        <v>48703</v>
      </c>
      <c r="E1351" s="3">
        <v>180242</v>
      </c>
    </row>
    <row r="1352" spans="3:5" ht="18" customHeight="1">
      <c r="C1352" s="3">
        <v>48704</v>
      </c>
      <c r="E1352" s="3">
        <v>38629</v>
      </c>
    </row>
    <row r="1353" spans="3:5" ht="18" customHeight="1">
      <c r="C1353" s="3">
        <v>48706</v>
      </c>
      <c r="E1353" s="3">
        <v>90972</v>
      </c>
    </row>
    <row r="1354" spans="3:5" ht="18" customHeight="1">
      <c r="C1354" s="3">
        <v>175736</v>
      </c>
      <c r="E1354" s="3">
        <v>90973</v>
      </c>
    </row>
    <row r="1355" spans="3:5" ht="18" customHeight="1">
      <c r="C1355" s="3">
        <v>48705</v>
      </c>
      <c r="E1355" s="3">
        <v>90974</v>
      </c>
    </row>
    <row r="1356" spans="3:5" ht="18" customHeight="1">
      <c r="C1356" s="3">
        <v>15050</v>
      </c>
      <c r="E1356" s="3">
        <v>90975</v>
      </c>
    </row>
    <row r="1357" spans="3:5" ht="18" customHeight="1">
      <c r="C1357" s="3">
        <v>48701</v>
      </c>
      <c r="E1357" s="3">
        <v>90976</v>
      </c>
    </row>
    <row r="1358" spans="3:5" ht="18" customHeight="1">
      <c r="C1358" s="3">
        <v>48707</v>
      </c>
      <c r="E1358" s="3">
        <v>90977</v>
      </c>
    </row>
    <row r="1359" spans="3:5" ht="18" customHeight="1">
      <c r="C1359" s="3">
        <v>48694</v>
      </c>
      <c r="E1359" s="3">
        <v>90978</v>
      </c>
    </row>
    <row r="1360" spans="3:5" ht="18" customHeight="1">
      <c r="C1360" s="3">
        <v>175737</v>
      </c>
      <c r="E1360" s="3">
        <v>90979</v>
      </c>
    </row>
    <row r="1361" spans="3:5" ht="18" customHeight="1">
      <c r="C1361" s="3">
        <v>48708</v>
      </c>
      <c r="E1361" s="3">
        <v>90980</v>
      </c>
    </row>
    <row r="1362" spans="3:5" ht="18" customHeight="1">
      <c r="C1362" s="3">
        <v>175738</v>
      </c>
      <c r="E1362" s="3">
        <v>26436</v>
      </c>
    </row>
    <row r="1363" spans="3:5" ht="18" customHeight="1">
      <c r="C1363" s="3">
        <v>48709</v>
      </c>
      <c r="E1363" s="3">
        <v>171102</v>
      </c>
    </row>
    <row r="1364" spans="3:5" ht="18" customHeight="1">
      <c r="C1364" s="3">
        <v>48710</v>
      </c>
      <c r="E1364" s="3">
        <v>171103</v>
      </c>
    </row>
    <row r="1365" spans="3:5" ht="18" customHeight="1">
      <c r="C1365" s="3">
        <v>48711</v>
      </c>
      <c r="E1365" s="3">
        <v>26437</v>
      </c>
    </row>
    <row r="1366" spans="3:5" ht="18" customHeight="1">
      <c r="C1366" s="3">
        <v>40059</v>
      </c>
      <c r="E1366" s="3">
        <v>26438</v>
      </c>
    </row>
    <row r="1367" spans="3:5" ht="18" customHeight="1">
      <c r="C1367" s="3">
        <v>296</v>
      </c>
      <c r="E1367" s="3">
        <v>26439</v>
      </c>
    </row>
    <row r="1368" spans="3:5" ht="18" customHeight="1">
      <c r="C1368" s="3">
        <v>182099</v>
      </c>
      <c r="E1368" s="3">
        <v>26440</v>
      </c>
    </row>
    <row r="1369" spans="3:5" ht="18" customHeight="1">
      <c r="C1369" s="3">
        <v>11711</v>
      </c>
      <c r="E1369" s="3">
        <v>26441</v>
      </c>
    </row>
    <row r="1370" spans="3:5" ht="18" customHeight="1">
      <c r="C1370" s="3">
        <v>94861</v>
      </c>
      <c r="E1370" s="3">
        <v>26442</v>
      </c>
    </row>
    <row r="1371" spans="3:5" ht="18" customHeight="1">
      <c r="C1371" s="3">
        <v>50608</v>
      </c>
      <c r="E1371" s="3">
        <v>26443</v>
      </c>
    </row>
    <row r="1372" spans="3:5" ht="18" customHeight="1">
      <c r="C1372" s="3">
        <v>14954</v>
      </c>
      <c r="E1372" s="3">
        <v>26445</v>
      </c>
    </row>
    <row r="1373" spans="3:5" ht="18" customHeight="1">
      <c r="C1373" s="3">
        <v>73340</v>
      </c>
      <c r="E1373" s="3">
        <v>26447</v>
      </c>
    </row>
    <row r="1374" spans="3:5" ht="18" customHeight="1">
      <c r="C1374" s="3">
        <v>14955</v>
      </c>
      <c r="E1374" s="3">
        <v>177668</v>
      </c>
    </row>
    <row r="1375" spans="3:5" ht="18" customHeight="1">
      <c r="C1375" s="3">
        <v>163824</v>
      </c>
      <c r="E1375" s="3">
        <v>124102</v>
      </c>
    </row>
    <row r="1376" spans="3:5" ht="18" customHeight="1">
      <c r="C1376" s="3">
        <v>3314</v>
      </c>
      <c r="E1376" s="3">
        <v>26450</v>
      </c>
    </row>
    <row r="1377" spans="3:5" ht="18" customHeight="1">
      <c r="C1377" s="3">
        <v>38331</v>
      </c>
      <c r="E1377" s="3">
        <v>119142</v>
      </c>
    </row>
    <row r="1378" spans="3:5" ht="18" customHeight="1">
      <c r="C1378" s="3">
        <v>175744</v>
      </c>
      <c r="E1378" s="3">
        <v>124103</v>
      </c>
    </row>
    <row r="1379" spans="3:5" ht="18" customHeight="1">
      <c r="C1379" s="3">
        <v>163827</v>
      </c>
      <c r="E1379" s="3">
        <v>26451</v>
      </c>
    </row>
    <row r="1380" spans="3:5" ht="18" customHeight="1">
      <c r="C1380" s="3">
        <v>178894</v>
      </c>
      <c r="E1380" s="3">
        <v>26446</v>
      </c>
    </row>
    <row r="1381" spans="3:5" ht="18" customHeight="1">
      <c r="C1381" s="3">
        <v>175743</v>
      </c>
      <c r="E1381" s="3">
        <v>50443</v>
      </c>
    </row>
    <row r="1382" spans="3:5" ht="18" customHeight="1">
      <c r="C1382" s="3">
        <v>163826</v>
      </c>
      <c r="E1382" s="3">
        <v>31283</v>
      </c>
    </row>
    <row r="1383" spans="3:5" ht="18" customHeight="1">
      <c r="C1383" s="3">
        <v>62041</v>
      </c>
      <c r="E1383" s="3">
        <v>26448</v>
      </c>
    </row>
    <row r="1384" spans="3:5" ht="18" customHeight="1">
      <c r="C1384" s="3">
        <v>48623</v>
      </c>
      <c r="E1384" s="3">
        <v>50437</v>
      </c>
    </row>
    <row r="1385" spans="3:5" ht="18" customHeight="1">
      <c r="C1385" s="3">
        <v>175745</v>
      </c>
      <c r="E1385" s="3">
        <v>31274</v>
      </c>
    </row>
    <row r="1386" spans="3:5" ht="18" customHeight="1">
      <c r="C1386" s="3">
        <v>183078</v>
      </c>
      <c r="E1386" s="3">
        <v>31278</v>
      </c>
    </row>
    <row r="1387" spans="3:5" ht="18" customHeight="1">
      <c r="C1387" s="3">
        <v>3317</v>
      </c>
      <c r="E1387" s="3">
        <v>31277</v>
      </c>
    </row>
    <row r="1388" spans="3:5" ht="18" customHeight="1">
      <c r="C1388" s="3">
        <v>116868</v>
      </c>
      <c r="E1388" s="3">
        <v>38630</v>
      </c>
    </row>
    <row r="1389" spans="3:5" ht="18" customHeight="1">
      <c r="C1389" s="3">
        <v>15088</v>
      </c>
      <c r="E1389" s="3">
        <v>38631</v>
      </c>
    </row>
    <row r="1390" spans="3:5" ht="18" customHeight="1">
      <c r="C1390" s="3">
        <v>73368</v>
      </c>
      <c r="E1390" s="3">
        <v>31276</v>
      </c>
    </row>
    <row r="1391" spans="3:5" ht="18" customHeight="1">
      <c r="C1391" s="3">
        <v>71574</v>
      </c>
      <c r="E1391" s="3">
        <v>31275</v>
      </c>
    </row>
    <row r="1392" spans="3:5" ht="18" customHeight="1">
      <c r="C1392" s="3">
        <v>183074</v>
      </c>
      <c r="E1392" s="3">
        <v>26444</v>
      </c>
    </row>
    <row r="1393" spans="3:5" ht="18" customHeight="1">
      <c r="C1393" s="3">
        <v>67807</v>
      </c>
      <c r="E1393" s="3">
        <v>50440</v>
      </c>
    </row>
    <row r="1394" spans="3:5" ht="18" customHeight="1">
      <c r="C1394" s="3">
        <v>50595</v>
      </c>
      <c r="E1394" s="3">
        <v>50441</v>
      </c>
    </row>
    <row r="1395" spans="3:5" ht="18" customHeight="1">
      <c r="C1395" s="3">
        <v>48649</v>
      </c>
      <c r="E1395" s="3">
        <v>50442</v>
      </c>
    </row>
    <row r="1396" spans="3:5" ht="18" customHeight="1">
      <c r="C1396" s="3">
        <v>50597</v>
      </c>
      <c r="E1396" s="3">
        <v>177689</v>
      </c>
    </row>
    <row r="1397" spans="3:5" ht="18" customHeight="1">
      <c r="C1397" s="3">
        <v>50596</v>
      </c>
      <c r="E1397" s="3">
        <v>177690</v>
      </c>
    </row>
    <row r="1398" spans="3:5" ht="18" customHeight="1">
      <c r="C1398" s="3">
        <v>73374</v>
      </c>
      <c r="E1398" s="3">
        <v>31285</v>
      </c>
    </row>
    <row r="1399" spans="3:5" ht="18" customHeight="1">
      <c r="C1399" s="3">
        <v>73382</v>
      </c>
      <c r="E1399" s="3">
        <v>31284</v>
      </c>
    </row>
    <row r="1400" spans="3:5" ht="18" customHeight="1">
      <c r="C1400" s="3">
        <v>163851</v>
      </c>
      <c r="E1400" s="3">
        <v>31286</v>
      </c>
    </row>
    <row r="1401" spans="3:5" ht="18" customHeight="1">
      <c r="C1401" s="3">
        <v>71573</v>
      </c>
      <c r="E1401" s="3">
        <v>177691</v>
      </c>
    </row>
    <row r="1402" spans="3:5" ht="18" customHeight="1">
      <c r="C1402" s="3">
        <v>39996</v>
      </c>
      <c r="E1402" s="3">
        <v>171104</v>
      </c>
    </row>
    <row r="1403" spans="3:5" ht="18" customHeight="1">
      <c r="C1403" s="3">
        <v>73372</v>
      </c>
      <c r="E1403" s="3">
        <v>124104</v>
      </c>
    </row>
    <row r="1404" spans="3:5" ht="18" customHeight="1">
      <c r="C1404" s="3">
        <v>67815</v>
      </c>
      <c r="E1404" s="3">
        <v>124106</v>
      </c>
    </row>
    <row r="1405" spans="3:5" ht="18" customHeight="1">
      <c r="C1405" s="3">
        <v>64627</v>
      </c>
      <c r="E1405" s="3">
        <v>177692</v>
      </c>
    </row>
    <row r="1406" spans="3:5" ht="18" customHeight="1">
      <c r="C1406" s="3">
        <v>168088</v>
      </c>
      <c r="E1406" s="3">
        <v>123703</v>
      </c>
    </row>
    <row r="1407" spans="3:5" ht="18" customHeight="1">
      <c r="C1407" s="3">
        <v>175742</v>
      </c>
      <c r="E1407" s="3">
        <v>38632</v>
      </c>
    </row>
    <row r="1408" spans="3:5" ht="18" customHeight="1">
      <c r="C1408" s="3">
        <v>58042</v>
      </c>
      <c r="E1408" s="3">
        <v>111121</v>
      </c>
    </row>
    <row r="1409" spans="3:5" ht="18" customHeight="1">
      <c r="C1409" s="3">
        <v>182098</v>
      </c>
      <c r="E1409" s="3">
        <v>177669</v>
      </c>
    </row>
    <row r="1410" spans="3:5" ht="18" customHeight="1">
      <c r="C1410" s="3">
        <v>183079</v>
      </c>
      <c r="E1410" s="3">
        <v>177670</v>
      </c>
    </row>
    <row r="1411" spans="3:5" ht="18" customHeight="1">
      <c r="C1411" s="3">
        <v>45096</v>
      </c>
      <c r="E1411" s="3">
        <v>177671</v>
      </c>
    </row>
    <row r="1412" spans="3:5" ht="18" customHeight="1">
      <c r="C1412" s="3">
        <v>175746</v>
      </c>
      <c r="E1412" s="3">
        <v>177672</v>
      </c>
    </row>
    <row r="1413" spans="3:5" ht="18" customHeight="1">
      <c r="C1413" s="3">
        <v>48748</v>
      </c>
      <c r="E1413" s="3">
        <v>177674</v>
      </c>
    </row>
    <row r="1414" spans="3:5" ht="18" customHeight="1">
      <c r="C1414" s="3">
        <v>61495</v>
      </c>
      <c r="E1414" s="3">
        <v>177675</v>
      </c>
    </row>
    <row r="1415" spans="3:5" ht="18" customHeight="1">
      <c r="C1415" s="3">
        <v>175747</v>
      </c>
      <c r="E1415" s="3">
        <v>177676</v>
      </c>
    </row>
    <row r="1416" spans="3:5" ht="18" customHeight="1">
      <c r="C1416" s="3">
        <v>175748</v>
      </c>
      <c r="E1416" s="3">
        <v>177677</v>
      </c>
    </row>
    <row r="1417" spans="3:5" ht="18" customHeight="1">
      <c r="C1417" s="3">
        <v>51000</v>
      </c>
      <c r="E1417" s="3">
        <v>177678</v>
      </c>
    </row>
    <row r="1418" spans="3:5" ht="18" customHeight="1">
      <c r="C1418" s="3">
        <v>58036</v>
      </c>
      <c r="E1418" s="3">
        <v>177679</v>
      </c>
    </row>
    <row r="1419" spans="3:5" ht="18" customHeight="1">
      <c r="C1419" s="3">
        <v>51004</v>
      </c>
      <c r="E1419" s="3">
        <v>177680</v>
      </c>
    </row>
    <row r="1420" spans="3:5" ht="18" customHeight="1">
      <c r="C1420" s="3">
        <v>83880</v>
      </c>
      <c r="E1420" s="3">
        <v>177686</v>
      </c>
    </row>
    <row r="1421" spans="3:5" ht="18" customHeight="1">
      <c r="C1421" s="3">
        <v>162485</v>
      </c>
      <c r="E1421" s="3">
        <v>177683</v>
      </c>
    </row>
    <row r="1422" spans="3:5" ht="18" customHeight="1">
      <c r="C1422" s="3">
        <v>74927</v>
      </c>
      <c r="E1422" s="3">
        <v>177684</v>
      </c>
    </row>
    <row r="1423" spans="3:5" ht="18" customHeight="1">
      <c r="C1423" s="3">
        <v>151236</v>
      </c>
      <c r="E1423" s="3">
        <v>177682</v>
      </c>
    </row>
    <row r="1424" spans="3:5" ht="18" customHeight="1">
      <c r="C1424" s="3">
        <v>32943</v>
      </c>
      <c r="E1424" s="3">
        <v>177681</v>
      </c>
    </row>
    <row r="1425" spans="3:5" ht="18" customHeight="1">
      <c r="C1425" s="3">
        <v>29954</v>
      </c>
      <c r="E1425" s="3">
        <v>177685</v>
      </c>
    </row>
    <row r="1426" spans="3:5" ht="18" customHeight="1">
      <c r="C1426" s="3">
        <v>74923</v>
      </c>
      <c r="E1426" s="3">
        <v>177687</v>
      </c>
    </row>
    <row r="1427" spans="3:5" ht="18" customHeight="1">
      <c r="C1427" s="3">
        <v>74925</v>
      </c>
      <c r="E1427" s="3">
        <v>177688</v>
      </c>
    </row>
    <row r="1428" spans="3:5" ht="18" customHeight="1">
      <c r="C1428" s="3">
        <v>167938</v>
      </c>
      <c r="E1428" s="3">
        <v>26449</v>
      </c>
    </row>
    <row r="1429" spans="3:5" ht="18" customHeight="1">
      <c r="C1429" s="3">
        <v>74926</v>
      </c>
      <c r="E1429" s="3">
        <v>26456</v>
      </c>
    </row>
    <row r="1430" spans="3:5" ht="18" customHeight="1">
      <c r="C1430" s="3">
        <v>162044</v>
      </c>
      <c r="E1430" s="3">
        <v>181461</v>
      </c>
    </row>
    <row r="1431" spans="3:5" ht="18" customHeight="1">
      <c r="C1431" s="3">
        <v>11724</v>
      </c>
      <c r="E1431" s="3">
        <v>181462</v>
      </c>
    </row>
    <row r="1432" spans="3:5" ht="18" customHeight="1">
      <c r="C1432" s="3">
        <v>179697</v>
      </c>
      <c r="E1432" s="3">
        <v>181463</v>
      </c>
    </row>
    <row r="1433" spans="3:5" ht="18" customHeight="1">
      <c r="C1433" s="3">
        <v>4684</v>
      </c>
      <c r="E1433" s="3">
        <v>36655</v>
      </c>
    </row>
    <row r="1434" spans="3:5" ht="18" customHeight="1">
      <c r="C1434" s="3">
        <v>31388</v>
      </c>
      <c r="E1434" s="3">
        <v>181464</v>
      </c>
    </row>
    <row r="1435" spans="3:5" ht="18" customHeight="1">
      <c r="C1435" s="3">
        <v>150044</v>
      </c>
      <c r="E1435" s="3">
        <v>31281</v>
      </c>
    </row>
    <row r="1436" spans="3:5" ht="18" customHeight="1">
      <c r="C1436" s="3">
        <v>29991</v>
      </c>
      <c r="E1436" s="3">
        <v>177712</v>
      </c>
    </row>
    <row r="1437" spans="3:5" ht="18" customHeight="1">
      <c r="C1437" s="3">
        <v>162048</v>
      </c>
      <c r="E1437" s="3">
        <v>177713</v>
      </c>
    </row>
    <row r="1438" spans="3:5" ht="18" customHeight="1">
      <c r="C1438" s="3">
        <v>29985</v>
      </c>
      <c r="E1438" s="3">
        <v>177714</v>
      </c>
    </row>
    <row r="1439" spans="3:5" ht="18" customHeight="1">
      <c r="C1439" s="3">
        <v>29986</v>
      </c>
      <c r="E1439" s="3">
        <v>177715</v>
      </c>
    </row>
    <row r="1440" spans="3:5" ht="18" customHeight="1">
      <c r="C1440" s="3">
        <v>29983</v>
      </c>
      <c r="E1440" s="3">
        <v>177716</v>
      </c>
    </row>
    <row r="1441" spans="3:5" ht="18" customHeight="1">
      <c r="C1441" s="3">
        <v>15226</v>
      </c>
      <c r="E1441" s="3">
        <v>177717</v>
      </c>
    </row>
    <row r="1442" spans="3:5" ht="18" customHeight="1">
      <c r="C1442" s="3">
        <v>29993</v>
      </c>
      <c r="E1442" s="3">
        <v>177718</v>
      </c>
    </row>
    <row r="1443" spans="3:5" ht="18" customHeight="1">
      <c r="C1443" s="3">
        <v>29990</v>
      </c>
      <c r="E1443" s="3">
        <v>177719</v>
      </c>
    </row>
    <row r="1444" spans="3:5" ht="18" customHeight="1">
      <c r="C1444" s="3">
        <v>629</v>
      </c>
      <c r="E1444" s="3">
        <v>177720</v>
      </c>
    </row>
    <row r="1445" spans="3:5" ht="18" customHeight="1">
      <c r="C1445" s="3">
        <v>170066</v>
      </c>
      <c r="E1445" s="3">
        <v>177721</v>
      </c>
    </row>
    <row r="1446" spans="3:5" ht="18" customHeight="1">
      <c r="C1446" s="3">
        <v>15230</v>
      </c>
      <c r="E1446" s="3">
        <v>177722</v>
      </c>
    </row>
    <row r="1447" spans="3:5" ht="18" customHeight="1">
      <c r="C1447" s="3">
        <v>4201</v>
      </c>
      <c r="E1447" s="3">
        <v>177723</v>
      </c>
    </row>
    <row r="1448" spans="3:5" ht="18" customHeight="1">
      <c r="C1448" s="3">
        <v>29973</v>
      </c>
      <c r="E1448" s="3">
        <v>177724</v>
      </c>
    </row>
    <row r="1449" spans="3:5" ht="18" customHeight="1">
      <c r="C1449" s="3">
        <v>29980</v>
      </c>
      <c r="E1449" s="3">
        <v>177727</v>
      </c>
    </row>
    <row r="1450" spans="3:5" ht="18" customHeight="1">
      <c r="C1450" s="3">
        <v>29970</v>
      </c>
      <c r="E1450" s="3">
        <v>177726</v>
      </c>
    </row>
    <row r="1451" spans="3:5" ht="18" customHeight="1">
      <c r="C1451" s="3">
        <v>4689</v>
      </c>
      <c r="E1451" s="3">
        <v>177725</v>
      </c>
    </row>
    <row r="1452" spans="3:5" ht="18" customHeight="1">
      <c r="C1452" s="3">
        <v>4690</v>
      </c>
      <c r="E1452" s="3">
        <v>177728</v>
      </c>
    </row>
    <row r="1453" spans="3:5" ht="18" customHeight="1">
      <c r="C1453" s="3">
        <v>4790</v>
      </c>
      <c r="E1453" s="3">
        <v>177729</v>
      </c>
    </row>
    <row r="1454" spans="3:5" ht="18" customHeight="1">
      <c r="C1454" s="3">
        <v>29965</v>
      </c>
      <c r="E1454" s="3">
        <v>177730</v>
      </c>
    </row>
    <row r="1455" spans="3:5" ht="18" customHeight="1">
      <c r="C1455" s="3">
        <v>15252</v>
      </c>
      <c r="E1455" s="3">
        <v>178949</v>
      </c>
    </row>
    <row r="1456" spans="3:5" ht="18" customHeight="1">
      <c r="C1456" s="3">
        <v>15256</v>
      </c>
      <c r="E1456" s="3">
        <v>171105</v>
      </c>
    </row>
    <row r="1457" spans="3:5" ht="18" customHeight="1">
      <c r="C1457" s="3">
        <v>15251</v>
      </c>
      <c r="E1457" s="3">
        <v>171106</v>
      </c>
    </row>
    <row r="1458" spans="3:5" ht="18" customHeight="1">
      <c r="C1458" s="3">
        <v>83874</v>
      </c>
      <c r="E1458" s="3">
        <v>124105</v>
      </c>
    </row>
    <row r="1459" spans="3:5" ht="18" customHeight="1">
      <c r="C1459" s="3">
        <v>30089</v>
      </c>
      <c r="E1459" s="3">
        <v>26455</v>
      </c>
    </row>
    <row r="1460" spans="3:5" ht="18" customHeight="1">
      <c r="C1460" s="3">
        <v>83876</v>
      </c>
      <c r="E1460" s="3">
        <v>6030</v>
      </c>
    </row>
    <row r="1461" spans="3:5" ht="18" customHeight="1">
      <c r="C1461" s="3">
        <v>83877</v>
      </c>
      <c r="E1461" s="3">
        <v>179413</v>
      </c>
    </row>
    <row r="1462" spans="3:5" ht="18" customHeight="1">
      <c r="C1462" s="3">
        <v>15257</v>
      </c>
      <c r="E1462" s="3">
        <v>33542</v>
      </c>
    </row>
    <row r="1463" spans="3:5" ht="18" customHeight="1">
      <c r="C1463" s="3">
        <v>43479</v>
      </c>
      <c r="E1463" s="3">
        <v>33543</v>
      </c>
    </row>
    <row r="1464" spans="3:5" ht="18" customHeight="1">
      <c r="C1464" s="3">
        <v>48515</v>
      </c>
      <c r="E1464" s="3">
        <v>33544</v>
      </c>
    </row>
    <row r="1465" spans="3:5" ht="18" customHeight="1">
      <c r="C1465" s="3">
        <v>69573</v>
      </c>
      <c r="E1465" s="3">
        <v>33545</v>
      </c>
    </row>
    <row r="1466" spans="3:5" ht="18" customHeight="1">
      <c r="C1466" s="3">
        <v>89161</v>
      </c>
      <c r="E1466" s="3">
        <v>33546</v>
      </c>
    </row>
    <row r="1467" spans="3:5" ht="18" customHeight="1">
      <c r="C1467" s="3">
        <v>121464</v>
      </c>
      <c r="E1467" s="3">
        <v>33547</v>
      </c>
    </row>
    <row r="1468" spans="3:5" ht="18" customHeight="1">
      <c r="C1468" s="3">
        <v>155823</v>
      </c>
      <c r="E1468" s="3">
        <v>33548</v>
      </c>
    </row>
    <row r="1469" spans="3:5" ht="18" customHeight="1">
      <c r="C1469" s="3">
        <v>64354</v>
      </c>
      <c r="E1469" s="3">
        <v>46094</v>
      </c>
    </row>
    <row r="1470" spans="3:5" ht="18" customHeight="1">
      <c r="C1470" s="3">
        <v>3323</v>
      </c>
      <c r="E1470" s="3">
        <v>33549</v>
      </c>
    </row>
    <row r="1471" spans="3:5" ht="18" customHeight="1">
      <c r="C1471" s="3">
        <v>15216</v>
      </c>
      <c r="E1471" s="3">
        <v>43946</v>
      </c>
    </row>
    <row r="1472" spans="3:5" ht="18" customHeight="1">
      <c r="C1472" s="3">
        <v>80390</v>
      </c>
      <c r="E1472" s="3">
        <v>38634</v>
      </c>
    </row>
    <row r="1473" spans="3:5" ht="18" customHeight="1">
      <c r="C1473" s="3">
        <v>30040</v>
      </c>
      <c r="E1473" s="3">
        <v>33550</v>
      </c>
    </row>
    <row r="1474" spans="3:5" ht="18" customHeight="1">
      <c r="C1474" s="3">
        <v>30059</v>
      </c>
      <c r="E1474" s="3">
        <v>33551</v>
      </c>
    </row>
    <row r="1475" spans="3:5" ht="18" customHeight="1">
      <c r="C1475" s="3">
        <v>79001</v>
      </c>
      <c r="E1475" s="3">
        <v>33552</v>
      </c>
    </row>
    <row r="1476" spans="3:5" ht="18" customHeight="1">
      <c r="C1476" s="3">
        <v>78999</v>
      </c>
      <c r="E1476" s="3">
        <v>33553</v>
      </c>
    </row>
    <row r="1477" spans="3:5" ht="18" customHeight="1">
      <c r="C1477" s="3">
        <v>79000</v>
      </c>
      <c r="E1477" s="3">
        <v>33554</v>
      </c>
    </row>
    <row r="1478" spans="3:5" ht="18" customHeight="1">
      <c r="C1478" s="3">
        <v>79003</v>
      </c>
      <c r="E1478" s="3">
        <v>33555</v>
      </c>
    </row>
    <row r="1479" spans="3:5" ht="18" customHeight="1">
      <c r="C1479" s="3">
        <v>19591</v>
      </c>
      <c r="E1479" s="3">
        <v>33556</v>
      </c>
    </row>
    <row r="1480" spans="3:5" ht="18" customHeight="1">
      <c r="C1480" s="3">
        <v>69341</v>
      </c>
      <c r="E1480" s="3">
        <v>36474</v>
      </c>
    </row>
    <row r="1481" spans="3:5" ht="18" customHeight="1">
      <c r="C1481" s="3">
        <v>172516</v>
      </c>
      <c r="E1481" s="3">
        <v>33557</v>
      </c>
    </row>
    <row r="1482" spans="3:5" ht="18" customHeight="1">
      <c r="C1482" s="3">
        <v>3860</v>
      </c>
      <c r="E1482" s="3">
        <v>33558</v>
      </c>
    </row>
    <row r="1483" spans="3:5" ht="18" customHeight="1">
      <c r="C1483" s="3">
        <v>87637</v>
      </c>
      <c r="E1483" s="3">
        <v>42604</v>
      </c>
    </row>
    <row r="1484" spans="3:5" ht="18" customHeight="1">
      <c r="C1484" s="3">
        <v>124850</v>
      </c>
      <c r="E1484" s="3">
        <v>33559</v>
      </c>
    </row>
    <row r="1485" spans="3:5" ht="18" customHeight="1">
      <c r="C1485" s="3">
        <v>87635</v>
      </c>
      <c r="E1485" s="3">
        <v>33560</v>
      </c>
    </row>
    <row r="1486" spans="3:5" ht="18" customHeight="1">
      <c r="C1486" s="3">
        <v>155817</v>
      </c>
      <c r="E1486" s="3">
        <v>173511</v>
      </c>
    </row>
    <row r="1487" spans="3:5" ht="18" customHeight="1">
      <c r="C1487" s="3">
        <v>30086</v>
      </c>
      <c r="E1487" s="3">
        <v>33561</v>
      </c>
    </row>
    <row r="1488" spans="3:5" ht="18" customHeight="1">
      <c r="C1488" s="3">
        <v>30087</v>
      </c>
      <c r="E1488" s="3">
        <v>33562</v>
      </c>
    </row>
    <row r="1489" spans="3:5" ht="18" customHeight="1">
      <c r="C1489" s="3">
        <v>79008</v>
      </c>
      <c r="E1489" s="3">
        <v>33563</v>
      </c>
    </row>
    <row r="1490" spans="3:5" ht="18" customHeight="1">
      <c r="C1490" s="3">
        <v>30082</v>
      </c>
      <c r="E1490" s="3">
        <v>33564</v>
      </c>
    </row>
    <row r="1491" spans="3:5" ht="18" customHeight="1">
      <c r="C1491" s="3">
        <v>79009</v>
      </c>
      <c r="E1491" s="3">
        <v>33565</v>
      </c>
    </row>
    <row r="1492" spans="3:5" ht="18" customHeight="1">
      <c r="C1492" s="3">
        <v>79010</v>
      </c>
      <c r="E1492" s="3">
        <v>33566</v>
      </c>
    </row>
    <row r="1493" spans="3:5" ht="18" customHeight="1">
      <c r="C1493" s="3">
        <v>88668</v>
      </c>
      <c r="E1493" s="3">
        <v>33567</v>
      </c>
    </row>
    <row r="1494" spans="3:5" ht="18" customHeight="1">
      <c r="C1494" s="3">
        <v>88665</v>
      </c>
      <c r="E1494" s="3">
        <v>33568</v>
      </c>
    </row>
    <row r="1495" spans="3:5" ht="18" customHeight="1">
      <c r="C1495" s="3">
        <v>88667</v>
      </c>
      <c r="E1495" s="3">
        <v>33569</v>
      </c>
    </row>
    <row r="1496" spans="3:5" ht="18" customHeight="1">
      <c r="C1496" s="3">
        <v>30085</v>
      </c>
      <c r="E1496" s="3">
        <v>33570</v>
      </c>
    </row>
    <row r="1497" spans="3:5" ht="18" customHeight="1">
      <c r="C1497" s="3">
        <v>151226</v>
      </c>
      <c r="E1497" s="3">
        <v>33571</v>
      </c>
    </row>
    <row r="1498" spans="3:5" ht="18" customHeight="1">
      <c r="C1498" s="3">
        <v>21198</v>
      </c>
      <c r="E1498" s="3">
        <v>42605</v>
      </c>
    </row>
    <row r="1499" spans="3:5" ht="18" customHeight="1">
      <c r="C1499" s="3">
        <v>30088</v>
      </c>
      <c r="E1499" s="3">
        <v>33572</v>
      </c>
    </row>
    <row r="1500" spans="3:5" ht="18" customHeight="1">
      <c r="C1500" s="3">
        <v>100501</v>
      </c>
      <c r="E1500" s="3">
        <v>177697</v>
      </c>
    </row>
    <row r="1501" spans="3:5" ht="18" customHeight="1">
      <c r="C1501" s="3">
        <v>21166</v>
      </c>
      <c r="E1501" s="3">
        <v>177698</v>
      </c>
    </row>
    <row r="1502" spans="3:5" ht="18" customHeight="1">
      <c r="C1502" s="3">
        <v>21168</v>
      </c>
      <c r="E1502" s="3">
        <v>179846</v>
      </c>
    </row>
    <row r="1503" spans="3:5" ht="18" customHeight="1">
      <c r="C1503" s="3">
        <v>21169</v>
      </c>
      <c r="E1503" s="3">
        <v>179847</v>
      </c>
    </row>
    <row r="1504" spans="3:5" ht="18" customHeight="1">
      <c r="C1504" s="3">
        <v>21517</v>
      </c>
      <c r="E1504" s="3">
        <v>33575</v>
      </c>
    </row>
    <row r="1505" spans="3:5" ht="18" customHeight="1">
      <c r="C1505" s="3">
        <v>3319</v>
      </c>
      <c r="E1505" s="3">
        <v>177699</v>
      </c>
    </row>
    <row r="1506" spans="3:5" ht="18" customHeight="1">
      <c r="C1506" s="3">
        <v>98923</v>
      </c>
      <c r="E1506" s="3">
        <v>177700</v>
      </c>
    </row>
    <row r="1507" spans="3:5" ht="18" customHeight="1">
      <c r="C1507" s="3">
        <v>11716</v>
      </c>
      <c r="E1507" s="3">
        <v>33577</v>
      </c>
    </row>
    <row r="1508" spans="3:5" ht="18" customHeight="1">
      <c r="C1508" s="3">
        <v>109092</v>
      </c>
      <c r="E1508" s="3">
        <v>33578</v>
      </c>
    </row>
    <row r="1509" spans="3:5" ht="18" customHeight="1">
      <c r="C1509" s="3">
        <v>11717</v>
      </c>
      <c r="E1509" s="3">
        <v>33594</v>
      </c>
    </row>
    <row r="1510" spans="3:5" ht="18" customHeight="1">
      <c r="C1510" s="3">
        <v>11718</v>
      </c>
      <c r="E1510" s="3">
        <v>33595</v>
      </c>
    </row>
    <row r="1511" spans="3:5" ht="18" customHeight="1">
      <c r="C1511" s="3">
        <v>11719</v>
      </c>
      <c r="E1511" s="3">
        <v>33596</v>
      </c>
    </row>
    <row r="1512" spans="3:5" ht="18" customHeight="1">
      <c r="C1512" s="3">
        <v>98924</v>
      </c>
      <c r="E1512" s="3">
        <v>33597</v>
      </c>
    </row>
    <row r="1513" spans="3:5" ht="18" customHeight="1">
      <c r="C1513" s="3">
        <v>11720</v>
      </c>
      <c r="E1513" s="3">
        <v>33598</v>
      </c>
    </row>
    <row r="1514" spans="3:5" ht="18" customHeight="1">
      <c r="C1514" s="3">
        <v>4692</v>
      </c>
      <c r="E1514" s="3">
        <v>33599</v>
      </c>
    </row>
    <row r="1515" spans="3:5" ht="18" customHeight="1">
      <c r="C1515" s="3">
        <v>101644</v>
      </c>
      <c r="E1515" s="3">
        <v>33600</v>
      </c>
    </row>
    <row r="1516" spans="3:5" ht="18" customHeight="1">
      <c r="C1516" s="3">
        <v>11721</v>
      </c>
      <c r="E1516" s="3">
        <v>33601</v>
      </c>
    </row>
    <row r="1517" spans="3:5" ht="18" customHeight="1">
      <c r="C1517" s="3">
        <v>4701</v>
      </c>
      <c r="E1517" s="3">
        <v>46095</v>
      </c>
    </row>
    <row r="1518" spans="3:5" ht="18" customHeight="1">
      <c r="C1518" s="3">
        <v>167943</v>
      </c>
      <c r="E1518" s="3">
        <v>33602</v>
      </c>
    </row>
    <row r="1519" spans="3:5" ht="18" customHeight="1">
      <c r="C1519" s="3">
        <v>101642</v>
      </c>
      <c r="E1519" s="3">
        <v>33603</v>
      </c>
    </row>
    <row r="1520" spans="3:5" ht="18" customHeight="1">
      <c r="C1520" s="3">
        <v>170067</v>
      </c>
      <c r="E1520" s="3">
        <v>33604</v>
      </c>
    </row>
    <row r="1521" spans="3:5" ht="18" customHeight="1">
      <c r="C1521" s="3">
        <v>11722</v>
      </c>
      <c r="E1521" s="3">
        <v>46096</v>
      </c>
    </row>
    <row r="1522" spans="3:5" ht="18" customHeight="1">
      <c r="C1522" s="3">
        <v>4702</v>
      </c>
      <c r="E1522" s="3">
        <v>50444</v>
      </c>
    </row>
    <row r="1523" spans="3:5" ht="18" customHeight="1">
      <c r="C1523" s="3">
        <v>711</v>
      </c>
      <c r="E1523" s="3">
        <v>50445</v>
      </c>
    </row>
    <row r="1524" spans="3:5" ht="18" customHeight="1">
      <c r="C1524" s="3">
        <v>50996</v>
      </c>
      <c r="E1524" s="3">
        <v>50446</v>
      </c>
    </row>
    <row r="1525" spans="3:5" ht="18" customHeight="1">
      <c r="C1525" s="3">
        <v>50997</v>
      </c>
      <c r="E1525" s="3">
        <v>50447</v>
      </c>
    </row>
    <row r="1526" spans="3:5" ht="18" customHeight="1">
      <c r="C1526" s="3">
        <v>45088</v>
      </c>
      <c r="E1526" s="3">
        <v>50448</v>
      </c>
    </row>
    <row r="1527" spans="3:5" ht="18" customHeight="1">
      <c r="C1527" s="3">
        <v>45087</v>
      </c>
      <c r="E1527" s="3">
        <v>50449</v>
      </c>
    </row>
    <row r="1528" spans="3:5" ht="18" customHeight="1">
      <c r="C1528" s="3">
        <v>45089</v>
      </c>
      <c r="E1528" s="3">
        <v>33643</v>
      </c>
    </row>
    <row r="1529" spans="3:5" ht="18" customHeight="1">
      <c r="C1529" s="3">
        <v>96991</v>
      </c>
      <c r="E1529" s="3">
        <v>50451</v>
      </c>
    </row>
    <row r="1530" spans="3:5" ht="18" customHeight="1">
      <c r="E1530" s="3">
        <v>50452</v>
      </c>
    </row>
    <row r="1531" spans="3:5" ht="18" customHeight="1">
      <c r="E1531" s="3">
        <v>177701</v>
      </c>
    </row>
    <row r="1532" spans="3:5" ht="18" customHeight="1">
      <c r="E1532" s="3">
        <v>177702</v>
      </c>
    </row>
    <row r="1533" spans="3:5" ht="18" customHeight="1">
      <c r="E1533" s="3">
        <v>177704</v>
      </c>
    </row>
    <row r="1534" spans="3:5" ht="18" customHeight="1">
      <c r="E1534" s="3">
        <v>177705</v>
      </c>
    </row>
    <row r="1535" spans="3:5" ht="18" customHeight="1">
      <c r="E1535" s="3">
        <v>177707</v>
      </c>
    </row>
    <row r="1536" spans="3:5" ht="18" customHeight="1">
      <c r="E1536" s="3">
        <v>177706</v>
      </c>
    </row>
    <row r="1537" spans="5:5" ht="18" customHeight="1">
      <c r="E1537" s="3">
        <v>177703</v>
      </c>
    </row>
    <row r="1538" spans="5:5" ht="18" customHeight="1">
      <c r="E1538" s="3">
        <v>177708</v>
      </c>
    </row>
    <row r="1539" spans="5:5" ht="18" customHeight="1">
      <c r="E1539" s="3">
        <v>177709</v>
      </c>
    </row>
    <row r="1540" spans="5:5" ht="18" customHeight="1">
      <c r="E1540" s="3">
        <v>33605</v>
      </c>
    </row>
    <row r="1541" spans="5:5" ht="18" customHeight="1">
      <c r="E1541" s="3">
        <v>33606</v>
      </c>
    </row>
    <row r="1542" spans="5:5" ht="18" customHeight="1">
      <c r="E1542" s="3">
        <v>33607</v>
      </c>
    </row>
    <row r="1543" spans="5:5" ht="18" customHeight="1">
      <c r="E1543" s="3">
        <v>33609</v>
      </c>
    </row>
    <row r="1544" spans="5:5" ht="18" customHeight="1">
      <c r="E1544" s="3">
        <v>33610</v>
      </c>
    </row>
    <row r="1545" spans="5:5" ht="18" customHeight="1">
      <c r="E1545" s="3">
        <v>46097</v>
      </c>
    </row>
    <row r="1546" spans="5:5" ht="18" customHeight="1">
      <c r="E1546" s="3">
        <v>33612</v>
      </c>
    </row>
    <row r="1547" spans="5:5" ht="18" customHeight="1">
      <c r="E1547" s="3">
        <v>38656</v>
      </c>
    </row>
    <row r="1548" spans="5:5" ht="18" customHeight="1">
      <c r="E1548" s="3">
        <v>33613</v>
      </c>
    </row>
    <row r="1549" spans="5:5" ht="18" customHeight="1">
      <c r="E1549" s="3">
        <v>33614</v>
      </c>
    </row>
    <row r="1550" spans="5:5" ht="18" customHeight="1">
      <c r="E1550" s="3">
        <v>33615</v>
      </c>
    </row>
    <row r="1551" spans="5:5" ht="18" customHeight="1">
      <c r="E1551" s="3">
        <v>33616</v>
      </c>
    </row>
    <row r="1552" spans="5:5" ht="18" customHeight="1">
      <c r="E1552" s="3">
        <v>33617</v>
      </c>
    </row>
    <row r="1553" spans="5:5" ht="18" customHeight="1">
      <c r="E1553" s="3">
        <v>33619</v>
      </c>
    </row>
    <row r="1554" spans="5:5" ht="18" customHeight="1">
      <c r="E1554" s="3">
        <v>33620</v>
      </c>
    </row>
    <row r="1555" spans="5:5" ht="18" customHeight="1">
      <c r="E1555" s="3">
        <v>50454</v>
      </c>
    </row>
    <row r="1556" spans="5:5" ht="18" customHeight="1">
      <c r="E1556" s="3">
        <v>33622</v>
      </c>
    </row>
    <row r="1557" spans="5:5" ht="18" customHeight="1">
      <c r="E1557" s="3">
        <v>38657</v>
      </c>
    </row>
    <row r="1558" spans="5:5" ht="18" customHeight="1">
      <c r="E1558" s="3">
        <v>6778</v>
      </c>
    </row>
    <row r="1559" spans="5:5" ht="18" customHeight="1">
      <c r="E1559" s="3">
        <v>33623</v>
      </c>
    </row>
    <row r="1560" spans="5:5" ht="18" customHeight="1">
      <c r="E1560" s="3">
        <v>33624</v>
      </c>
    </row>
    <row r="1561" spans="5:5" ht="18" customHeight="1">
      <c r="E1561" s="3">
        <v>33625</v>
      </c>
    </row>
    <row r="1562" spans="5:5" ht="18" customHeight="1">
      <c r="E1562" s="3">
        <v>33626</v>
      </c>
    </row>
    <row r="1563" spans="5:5" ht="18" customHeight="1">
      <c r="E1563" s="3">
        <v>33627</v>
      </c>
    </row>
    <row r="1564" spans="5:5" ht="18" customHeight="1">
      <c r="E1564" s="3">
        <v>33621</v>
      </c>
    </row>
    <row r="1565" spans="5:5" ht="18" customHeight="1">
      <c r="E1565" s="3">
        <v>46098</v>
      </c>
    </row>
    <row r="1566" spans="5:5" ht="18" customHeight="1">
      <c r="E1566" s="3">
        <v>33628</v>
      </c>
    </row>
    <row r="1567" spans="5:5" ht="18" customHeight="1">
      <c r="E1567" s="3">
        <v>33629</v>
      </c>
    </row>
    <row r="1568" spans="5:5" ht="18" customHeight="1">
      <c r="E1568" s="3">
        <v>33632</v>
      </c>
    </row>
    <row r="1569" spans="5:5" ht="18" customHeight="1">
      <c r="E1569" s="3">
        <v>33633</v>
      </c>
    </row>
    <row r="1570" spans="5:5" ht="18" customHeight="1">
      <c r="E1570" s="3">
        <v>33630</v>
      </c>
    </row>
    <row r="1571" spans="5:5" ht="18" customHeight="1">
      <c r="E1571" s="3">
        <v>33634</v>
      </c>
    </row>
    <row r="1572" spans="5:5" ht="18" customHeight="1">
      <c r="E1572" s="3">
        <v>33635</v>
      </c>
    </row>
    <row r="1573" spans="5:5" ht="18" customHeight="1">
      <c r="E1573" s="3">
        <v>33636</v>
      </c>
    </row>
    <row r="1574" spans="5:5" ht="18" customHeight="1">
      <c r="E1574" s="3">
        <v>42610</v>
      </c>
    </row>
    <row r="1575" spans="5:5" ht="18" customHeight="1">
      <c r="E1575" s="3">
        <v>33637</v>
      </c>
    </row>
    <row r="1576" spans="5:5" ht="18" customHeight="1">
      <c r="E1576" s="3">
        <v>38658</v>
      </c>
    </row>
    <row r="1577" spans="5:5" ht="18" customHeight="1">
      <c r="E1577" s="3">
        <v>33639</v>
      </c>
    </row>
    <row r="1578" spans="5:5" ht="18" customHeight="1">
      <c r="E1578" s="3">
        <v>36475</v>
      </c>
    </row>
    <row r="1579" spans="5:5" ht="18" customHeight="1">
      <c r="E1579" s="3">
        <v>50457</v>
      </c>
    </row>
    <row r="1580" spans="5:5" ht="18" customHeight="1">
      <c r="E1580" s="3">
        <v>38659</v>
      </c>
    </row>
    <row r="1581" spans="5:5" ht="18" customHeight="1">
      <c r="E1581" s="3">
        <v>33640</v>
      </c>
    </row>
    <row r="1582" spans="5:5" ht="18" customHeight="1">
      <c r="E1582" s="3">
        <v>50456</v>
      </c>
    </row>
    <row r="1583" spans="5:5" ht="18" customHeight="1">
      <c r="E1583" s="3">
        <v>179849</v>
      </c>
    </row>
    <row r="1584" spans="5:5" ht="18" customHeight="1">
      <c r="E1584" s="3">
        <v>179850</v>
      </c>
    </row>
    <row r="1585" spans="5:5" ht="18" customHeight="1">
      <c r="E1585" s="3">
        <v>179851</v>
      </c>
    </row>
    <row r="1586" spans="5:5" ht="18" customHeight="1">
      <c r="E1586" s="3">
        <v>33644</v>
      </c>
    </row>
    <row r="1587" spans="5:5" ht="18" customHeight="1">
      <c r="E1587" s="3">
        <v>33645</v>
      </c>
    </row>
    <row r="1588" spans="5:5" ht="18" customHeight="1">
      <c r="E1588" s="3">
        <v>33646</v>
      </c>
    </row>
    <row r="1589" spans="5:5" ht="18" customHeight="1">
      <c r="E1589" s="3">
        <v>33648</v>
      </c>
    </row>
    <row r="1590" spans="5:5" ht="18" customHeight="1">
      <c r="E1590" s="3">
        <v>33649</v>
      </c>
    </row>
    <row r="1591" spans="5:5" ht="18" customHeight="1">
      <c r="E1591" s="3">
        <v>33654</v>
      </c>
    </row>
    <row r="1592" spans="5:5" ht="18" customHeight="1">
      <c r="E1592" s="3">
        <v>33650</v>
      </c>
    </row>
    <row r="1593" spans="5:5" ht="18" customHeight="1">
      <c r="E1593" s="3">
        <v>33651</v>
      </c>
    </row>
    <row r="1594" spans="5:5" ht="18" customHeight="1">
      <c r="E1594" s="3">
        <v>63688</v>
      </c>
    </row>
    <row r="1595" spans="5:5" ht="18" customHeight="1">
      <c r="E1595" s="3">
        <v>50455</v>
      </c>
    </row>
    <row r="1596" spans="5:5" ht="18" customHeight="1">
      <c r="E1596" s="3">
        <v>33638</v>
      </c>
    </row>
    <row r="1597" spans="5:5" ht="18" customHeight="1">
      <c r="E1597" s="3">
        <v>33652</v>
      </c>
    </row>
    <row r="1598" spans="5:5" ht="18" customHeight="1">
      <c r="E1598" s="3">
        <v>33647</v>
      </c>
    </row>
    <row r="1599" spans="5:5" ht="18" customHeight="1">
      <c r="E1599" s="3">
        <v>33653</v>
      </c>
    </row>
    <row r="1600" spans="5:5" ht="18" customHeight="1">
      <c r="E1600" s="3">
        <v>33655</v>
      </c>
    </row>
    <row r="1601" spans="5:5" ht="18" customHeight="1">
      <c r="E1601" s="3">
        <v>33656</v>
      </c>
    </row>
    <row r="1602" spans="5:5" ht="18" customHeight="1">
      <c r="E1602" s="3">
        <v>179852</v>
      </c>
    </row>
    <row r="1603" spans="5:5" ht="18" customHeight="1">
      <c r="E1603" s="3">
        <v>33657</v>
      </c>
    </row>
    <row r="1604" spans="5:5" ht="18" customHeight="1">
      <c r="E1604" s="3">
        <v>42611</v>
      </c>
    </row>
    <row r="1605" spans="5:5" ht="18" customHeight="1">
      <c r="E1605" s="3">
        <v>33658</v>
      </c>
    </row>
    <row r="1606" spans="5:5" ht="18" customHeight="1">
      <c r="E1606" s="3">
        <v>33659</v>
      </c>
    </row>
    <row r="1607" spans="5:5" ht="18" customHeight="1">
      <c r="E1607" s="3">
        <v>33660</v>
      </c>
    </row>
    <row r="1608" spans="5:5" ht="18" customHeight="1">
      <c r="E1608" s="3">
        <v>33661</v>
      </c>
    </row>
    <row r="1609" spans="5:5" ht="18" customHeight="1">
      <c r="E1609" s="3">
        <v>33662</v>
      </c>
    </row>
    <row r="1610" spans="5:5" ht="18" customHeight="1">
      <c r="E1610" s="3">
        <v>33663</v>
      </c>
    </row>
    <row r="1611" spans="5:5" ht="18" customHeight="1">
      <c r="E1611" s="3">
        <v>33664</v>
      </c>
    </row>
    <row r="1612" spans="5:5" ht="18" customHeight="1">
      <c r="E1612" s="3">
        <v>33665</v>
      </c>
    </row>
    <row r="1613" spans="5:5" ht="18" customHeight="1">
      <c r="E1613" s="3">
        <v>33666</v>
      </c>
    </row>
    <row r="1614" spans="5:5" ht="18" customHeight="1">
      <c r="E1614" s="3">
        <v>33667</v>
      </c>
    </row>
    <row r="1615" spans="5:5" ht="18" customHeight="1">
      <c r="E1615" s="3">
        <v>33668</v>
      </c>
    </row>
    <row r="1616" spans="5:5" ht="18" customHeight="1">
      <c r="E1616" s="3">
        <v>33669</v>
      </c>
    </row>
    <row r="1617" spans="5:5" ht="18" customHeight="1">
      <c r="E1617" s="3">
        <v>46099</v>
      </c>
    </row>
    <row r="1618" spans="5:5" ht="18" customHeight="1">
      <c r="E1618" s="3">
        <v>33672</v>
      </c>
    </row>
    <row r="1619" spans="5:5" ht="18" customHeight="1">
      <c r="E1619" s="3">
        <v>38660</v>
      </c>
    </row>
    <row r="1620" spans="5:5" ht="18" customHeight="1">
      <c r="E1620" s="3">
        <v>33673</v>
      </c>
    </row>
    <row r="1621" spans="5:5" ht="18" customHeight="1">
      <c r="E1621" s="3">
        <v>33674</v>
      </c>
    </row>
    <row r="1622" spans="5:5" ht="18" customHeight="1">
      <c r="E1622" s="3">
        <v>33677</v>
      </c>
    </row>
    <row r="1623" spans="5:5" ht="18" customHeight="1">
      <c r="E1623" s="3">
        <v>43951</v>
      </c>
    </row>
    <row r="1624" spans="5:5" ht="18" customHeight="1">
      <c r="E1624" s="3">
        <v>43952</v>
      </c>
    </row>
    <row r="1625" spans="5:5" ht="18" customHeight="1">
      <c r="E1625" s="3">
        <v>33675</v>
      </c>
    </row>
    <row r="1626" spans="5:5" ht="18" customHeight="1">
      <c r="E1626" s="3">
        <v>33676</v>
      </c>
    </row>
    <row r="1627" spans="5:5" ht="18" customHeight="1">
      <c r="E1627" s="3">
        <v>33678</v>
      </c>
    </row>
    <row r="1628" spans="5:5" ht="18" customHeight="1">
      <c r="E1628" s="3">
        <v>33679</v>
      </c>
    </row>
    <row r="1629" spans="5:5" ht="18" customHeight="1">
      <c r="E1629" s="3">
        <v>33680</v>
      </c>
    </row>
    <row r="1630" spans="5:5" ht="18" customHeight="1">
      <c r="E1630" s="3">
        <v>33681</v>
      </c>
    </row>
    <row r="1631" spans="5:5" ht="18" customHeight="1">
      <c r="E1631" s="3">
        <v>33682</v>
      </c>
    </row>
    <row r="1632" spans="5:5" ht="18" customHeight="1">
      <c r="E1632" s="3">
        <v>46100</v>
      </c>
    </row>
    <row r="1633" spans="5:5" ht="18" customHeight="1">
      <c r="E1633" s="3">
        <v>33683</v>
      </c>
    </row>
    <row r="1634" spans="5:5" ht="18" customHeight="1">
      <c r="E1634" s="3">
        <v>33684</v>
      </c>
    </row>
    <row r="1635" spans="5:5" ht="18" customHeight="1">
      <c r="E1635" s="3">
        <v>33685</v>
      </c>
    </row>
    <row r="1636" spans="5:5" ht="18" customHeight="1">
      <c r="E1636" s="3">
        <v>63689</v>
      </c>
    </row>
    <row r="1637" spans="5:5" ht="18" customHeight="1">
      <c r="E1637" s="3">
        <v>33686</v>
      </c>
    </row>
    <row r="1638" spans="5:5" ht="18" customHeight="1">
      <c r="E1638" s="3">
        <v>6781</v>
      </c>
    </row>
    <row r="1639" spans="5:5" ht="18" customHeight="1">
      <c r="E1639" s="3">
        <v>33687</v>
      </c>
    </row>
    <row r="1640" spans="5:5" ht="18" customHeight="1">
      <c r="E1640" s="3">
        <v>33688</v>
      </c>
    </row>
    <row r="1641" spans="5:5" ht="18" customHeight="1">
      <c r="E1641" s="3">
        <v>33689</v>
      </c>
    </row>
    <row r="1642" spans="5:5" ht="18" customHeight="1">
      <c r="E1642" s="3">
        <v>33690</v>
      </c>
    </row>
    <row r="1643" spans="5:5" ht="18" customHeight="1">
      <c r="E1643" s="3">
        <v>33691</v>
      </c>
    </row>
    <row r="1644" spans="5:5" ht="18" customHeight="1">
      <c r="E1644" s="3">
        <v>33692</v>
      </c>
    </row>
    <row r="1645" spans="5:5" ht="18" customHeight="1">
      <c r="E1645" s="3">
        <v>40016</v>
      </c>
    </row>
    <row r="1646" spans="5:5" ht="18" customHeight="1">
      <c r="E1646" s="3">
        <v>33693</v>
      </c>
    </row>
    <row r="1647" spans="5:5" ht="18" customHeight="1">
      <c r="E1647" s="3">
        <v>46101</v>
      </c>
    </row>
    <row r="1648" spans="5:5" ht="18" customHeight="1">
      <c r="E1648" s="3">
        <v>33694</v>
      </c>
    </row>
    <row r="1649" spans="5:5" ht="18" customHeight="1">
      <c r="E1649" s="3">
        <v>63690</v>
      </c>
    </row>
    <row r="1650" spans="5:5" ht="18" customHeight="1">
      <c r="E1650" s="3">
        <v>33695</v>
      </c>
    </row>
    <row r="1651" spans="5:5" ht="18" customHeight="1">
      <c r="E1651" s="3">
        <v>63691</v>
      </c>
    </row>
    <row r="1652" spans="5:5" ht="18" customHeight="1">
      <c r="E1652" s="3">
        <v>40017</v>
      </c>
    </row>
    <row r="1653" spans="5:5" ht="18" customHeight="1">
      <c r="E1653" s="3">
        <v>33697</v>
      </c>
    </row>
    <row r="1654" spans="5:5" ht="18" customHeight="1">
      <c r="E1654" s="3">
        <v>33698</v>
      </c>
    </row>
    <row r="1655" spans="5:5" ht="18" customHeight="1">
      <c r="E1655" s="3">
        <v>179848</v>
      </c>
    </row>
    <row r="1656" spans="5:5" ht="18" customHeight="1">
      <c r="E1656" s="3">
        <v>33696</v>
      </c>
    </row>
    <row r="1657" spans="5:5" ht="18" customHeight="1">
      <c r="E1657" s="3">
        <v>33699</v>
      </c>
    </row>
    <row r="1658" spans="5:5" ht="18" customHeight="1">
      <c r="E1658" s="3">
        <v>33700</v>
      </c>
    </row>
    <row r="1659" spans="5:5" ht="18" customHeight="1">
      <c r="E1659" s="3">
        <v>33701</v>
      </c>
    </row>
    <row r="1660" spans="5:5" ht="18" customHeight="1">
      <c r="E1660" s="3">
        <v>50458</v>
      </c>
    </row>
    <row r="1661" spans="5:5" ht="18" customHeight="1">
      <c r="E1661" s="3">
        <v>33702</v>
      </c>
    </row>
    <row r="1662" spans="5:5" ht="18" customHeight="1">
      <c r="E1662" s="3">
        <v>33703</v>
      </c>
    </row>
    <row r="1663" spans="5:5" ht="18" customHeight="1">
      <c r="E1663" s="3">
        <v>33704</v>
      </c>
    </row>
    <row r="1664" spans="5:5" ht="18" customHeight="1">
      <c r="E1664" s="3">
        <v>46102</v>
      </c>
    </row>
    <row r="1665" spans="5:5" ht="18" customHeight="1">
      <c r="E1665" s="3">
        <v>50459</v>
      </c>
    </row>
    <row r="1666" spans="5:5" ht="18" customHeight="1">
      <c r="E1666" s="3">
        <v>33705</v>
      </c>
    </row>
    <row r="1667" spans="5:5" ht="18" customHeight="1">
      <c r="E1667" s="3">
        <v>40018</v>
      </c>
    </row>
    <row r="1668" spans="5:5" ht="18" customHeight="1">
      <c r="E1668" s="3">
        <v>33706</v>
      </c>
    </row>
    <row r="1669" spans="5:5" ht="18" customHeight="1">
      <c r="E1669" s="3">
        <v>42612</v>
      </c>
    </row>
    <row r="1670" spans="5:5" ht="18" customHeight="1">
      <c r="E1670" s="3">
        <v>33707</v>
      </c>
    </row>
    <row r="1671" spans="5:5" ht="18" customHeight="1">
      <c r="E1671" s="3">
        <v>33708</v>
      </c>
    </row>
    <row r="1672" spans="5:5" ht="18" customHeight="1">
      <c r="E1672" s="3">
        <v>33709</v>
      </c>
    </row>
    <row r="1673" spans="5:5" ht="18" customHeight="1">
      <c r="E1673" s="3">
        <v>38661</v>
      </c>
    </row>
    <row r="1674" spans="5:5" ht="18" customHeight="1">
      <c r="E1674" s="3">
        <v>33710</v>
      </c>
    </row>
    <row r="1675" spans="5:5" ht="18" customHeight="1">
      <c r="E1675" s="3">
        <v>33711</v>
      </c>
    </row>
    <row r="1676" spans="5:5" ht="18" customHeight="1">
      <c r="E1676" s="3">
        <v>33712</v>
      </c>
    </row>
    <row r="1677" spans="5:5" ht="18" customHeight="1">
      <c r="E1677" s="3">
        <v>172517</v>
      </c>
    </row>
    <row r="1678" spans="5:5" ht="18" customHeight="1">
      <c r="E1678" s="3">
        <v>33713</v>
      </c>
    </row>
    <row r="1679" spans="5:5" ht="18" customHeight="1">
      <c r="E1679" s="3">
        <v>33714</v>
      </c>
    </row>
    <row r="1680" spans="5:5" ht="18" customHeight="1">
      <c r="E1680" s="3">
        <v>36476</v>
      </c>
    </row>
    <row r="1681" spans="5:5" ht="18" customHeight="1">
      <c r="E1681" s="3">
        <v>172518</v>
      </c>
    </row>
    <row r="1682" spans="5:5" ht="18" customHeight="1">
      <c r="E1682" s="3">
        <v>33715</v>
      </c>
    </row>
    <row r="1683" spans="5:5" ht="18" customHeight="1">
      <c r="E1683" s="3">
        <v>33716</v>
      </c>
    </row>
    <row r="1684" spans="5:5" ht="18" customHeight="1">
      <c r="E1684" s="3">
        <v>33717</v>
      </c>
    </row>
    <row r="1685" spans="5:5" ht="18" customHeight="1">
      <c r="E1685" s="3">
        <v>42613</v>
      </c>
    </row>
    <row r="1686" spans="5:5" ht="18" customHeight="1">
      <c r="E1686" s="3">
        <v>33718</v>
      </c>
    </row>
    <row r="1687" spans="5:5" ht="18" customHeight="1">
      <c r="E1687" s="3">
        <v>177710</v>
      </c>
    </row>
    <row r="1688" spans="5:5" ht="18" customHeight="1">
      <c r="E1688" s="3">
        <v>177711</v>
      </c>
    </row>
    <row r="1689" spans="5:5" ht="18" customHeight="1">
      <c r="E1689" s="3">
        <v>33720</v>
      </c>
    </row>
    <row r="1690" spans="5:5" ht="18" customHeight="1">
      <c r="E1690" s="3">
        <v>33721</v>
      </c>
    </row>
    <row r="1691" spans="5:5" ht="18" customHeight="1">
      <c r="E1691" s="3">
        <v>33722</v>
      </c>
    </row>
    <row r="1692" spans="5:5" ht="18" customHeight="1">
      <c r="E1692" s="3">
        <v>33723</v>
      </c>
    </row>
    <row r="1693" spans="5:5" ht="18" customHeight="1">
      <c r="E1693" s="3">
        <v>33724</v>
      </c>
    </row>
    <row r="1694" spans="5:5" ht="18" customHeight="1">
      <c r="E1694" s="3">
        <v>33725</v>
      </c>
    </row>
    <row r="1695" spans="5:5" ht="18" customHeight="1">
      <c r="E1695" s="3">
        <v>6779</v>
      </c>
    </row>
    <row r="1696" spans="5:5" ht="18" customHeight="1">
      <c r="E1696" s="3">
        <v>33579</v>
      </c>
    </row>
    <row r="1697" spans="5:5" ht="18" customHeight="1">
      <c r="E1697" s="3">
        <v>33580</v>
      </c>
    </row>
    <row r="1698" spans="5:5" ht="18" customHeight="1">
      <c r="E1698" s="3">
        <v>33581</v>
      </c>
    </row>
    <row r="1699" spans="5:5" ht="18" customHeight="1">
      <c r="E1699" s="3">
        <v>33582</v>
      </c>
    </row>
    <row r="1700" spans="5:5" ht="18" customHeight="1">
      <c r="E1700" s="3">
        <v>33583</v>
      </c>
    </row>
    <row r="1701" spans="5:5" ht="18" customHeight="1">
      <c r="E1701" s="3">
        <v>33584</v>
      </c>
    </row>
    <row r="1702" spans="5:5" ht="18" customHeight="1">
      <c r="E1702" s="3">
        <v>33585</v>
      </c>
    </row>
    <row r="1703" spans="5:5" ht="18" customHeight="1">
      <c r="E1703" s="3">
        <v>33586</v>
      </c>
    </row>
    <row r="1704" spans="5:5" ht="18" customHeight="1">
      <c r="E1704" s="3">
        <v>33587</v>
      </c>
    </row>
    <row r="1705" spans="5:5" ht="18" customHeight="1">
      <c r="E1705" s="3">
        <v>33588</v>
      </c>
    </row>
    <row r="1706" spans="5:5" ht="18" customHeight="1">
      <c r="E1706" s="3">
        <v>33589</v>
      </c>
    </row>
    <row r="1707" spans="5:5" ht="18" customHeight="1">
      <c r="E1707" s="3">
        <v>33590</v>
      </c>
    </row>
    <row r="1708" spans="5:5" ht="18" customHeight="1">
      <c r="E1708" s="3">
        <v>33591</v>
      </c>
    </row>
    <row r="1709" spans="5:5" ht="18" customHeight="1">
      <c r="E1709" s="3">
        <v>33592</v>
      </c>
    </row>
    <row r="1710" spans="5:5" ht="18" customHeight="1">
      <c r="E1710" s="3">
        <v>33593</v>
      </c>
    </row>
    <row r="1711" spans="5:5" ht="18" customHeight="1">
      <c r="E1711" s="3">
        <v>42609</v>
      </c>
    </row>
    <row r="1712" spans="5:5" ht="18" customHeight="1">
      <c r="E1712" s="3">
        <v>33726</v>
      </c>
    </row>
    <row r="1713" spans="5:5" ht="18" customHeight="1">
      <c r="E1713" s="3">
        <v>171114</v>
      </c>
    </row>
    <row r="1714" spans="5:5" ht="18" customHeight="1">
      <c r="E1714" s="3">
        <v>171115</v>
      </c>
    </row>
    <row r="1715" spans="5:5" ht="18" customHeight="1">
      <c r="E1715" s="3">
        <v>33727</v>
      </c>
    </row>
    <row r="1716" spans="5:5" ht="18" customHeight="1">
      <c r="E1716" s="3">
        <v>33728</v>
      </c>
    </row>
    <row r="1717" spans="5:5" ht="18" customHeight="1">
      <c r="E1717" s="3">
        <v>33729</v>
      </c>
    </row>
    <row r="1718" spans="5:5" ht="18" customHeight="1">
      <c r="E1718" s="3">
        <v>33730</v>
      </c>
    </row>
    <row r="1719" spans="5:5" ht="18" customHeight="1">
      <c r="E1719" s="3">
        <v>33731</v>
      </c>
    </row>
    <row r="1720" spans="5:5" ht="18" customHeight="1">
      <c r="E1720" s="3">
        <v>33732</v>
      </c>
    </row>
    <row r="1721" spans="5:5" ht="18" customHeight="1">
      <c r="E1721" s="3">
        <v>171116</v>
      </c>
    </row>
    <row r="1722" spans="5:5" ht="18" customHeight="1">
      <c r="E1722" s="3">
        <v>171117</v>
      </c>
    </row>
    <row r="1723" spans="5:5" ht="18" customHeight="1">
      <c r="E1723" s="3">
        <v>33733</v>
      </c>
    </row>
    <row r="1724" spans="5:5" ht="18" customHeight="1">
      <c r="E1724" s="3">
        <v>33735</v>
      </c>
    </row>
    <row r="1725" spans="5:5" ht="18" customHeight="1">
      <c r="E1725" s="3">
        <v>33736</v>
      </c>
    </row>
    <row r="1726" spans="5:5" ht="18" customHeight="1">
      <c r="E1726" s="3">
        <v>63692</v>
      </c>
    </row>
    <row r="1727" spans="5:5" ht="18" customHeight="1">
      <c r="E1727" s="3">
        <v>46103</v>
      </c>
    </row>
    <row r="1728" spans="5:5" ht="18" customHeight="1">
      <c r="E1728" s="3">
        <v>33738</v>
      </c>
    </row>
    <row r="1729" spans="5:5" ht="18" customHeight="1">
      <c r="E1729" s="3">
        <v>46104</v>
      </c>
    </row>
    <row r="1730" spans="5:5" ht="18" customHeight="1">
      <c r="E1730" s="3">
        <v>33739</v>
      </c>
    </row>
    <row r="1731" spans="5:5" ht="18" customHeight="1">
      <c r="E1731" s="3">
        <v>33740</v>
      </c>
    </row>
    <row r="1732" spans="5:5" ht="18" customHeight="1">
      <c r="E1732" s="3">
        <v>33741</v>
      </c>
    </row>
    <row r="1733" spans="5:5" ht="18" customHeight="1">
      <c r="E1733" s="3">
        <v>33742</v>
      </c>
    </row>
    <row r="1734" spans="5:5" ht="18" customHeight="1">
      <c r="E1734" s="3">
        <v>33743</v>
      </c>
    </row>
    <row r="1735" spans="5:5" ht="18" customHeight="1">
      <c r="E1735" s="3">
        <v>33744</v>
      </c>
    </row>
    <row r="1736" spans="5:5" ht="18" customHeight="1">
      <c r="E1736" s="3">
        <v>179696</v>
      </c>
    </row>
    <row r="1737" spans="5:5" ht="18" customHeight="1">
      <c r="E1737" s="3">
        <v>66471</v>
      </c>
    </row>
    <row r="1738" spans="5:5" ht="18" customHeight="1">
      <c r="E1738" s="3">
        <v>33746</v>
      </c>
    </row>
    <row r="1739" spans="5:5" ht="18" customHeight="1">
      <c r="E1739" s="3">
        <v>180090</v>
      </c>
    </row>
    <row r="1740" spans="5:5" ht="18" customHeight="1">
      <c r="E1740" s="3">
        <v>33747</v>
      </c>
    </row>
    <row r="1741" spans="5:5" ht="18" customHeight="1">
      <c r="E1741" s="3">
        <v>43953</v>
      </c>
    </row>
    <row r="1742" spans="5:5" ht="18" customHeight="1">
      <c r="E1742" s="3">
        <v>66479</v>
      </c>
    </row>
    <row r="1743" spans="5:5" ht="18" customHeight="1">
      <c r="E1743" s="3">
        <v>43961</v>
      </c>
    </row>
    <row r="1744" spans="5:5" ht="18" customHeight="1">
      <c r="E1744" s="3">
        <v>33749</v>
      </c>
    </row>
    <row r="1745" spans="5:5" ht="18" customHeight="1">
      <c r="E1745" s="3">
        <v>170141</v>
      </c>
    </row>
    <row r="1746" spans="5:5" ht="18" customHeight="1">
      <c r="E1746" s="3">
        <v>42614</v>
      </c>
    </row>
    <row r="1747" spans="5:5" ht="18" customHeight="1">
      <c r="E1747" s="3">
        <v>6763</v>
      </c>
    </row>
    <row r="1748" spans="5:5" ht="18" customHeight="1">
      <c r="E1748" s="3">
        <v>170140</v>
      </c>
    </row>
    <row r="1749" spans="5:5" ht="18" customHeight="1">
      <c r="E1749" s="3">
        <v>158940</v>
      </c>
    </row>
    <row r="1750" spans="5:5" ht="18" customHeight="1">
      <c r="E1750" s="3">
        <v>158941</v>
      </c>
    </row>
    <row r="1751" spans="5:5" ht="18" customHeight="1">
      <c r="E1751" s="3">
        <v>158942</v>
      </c>
    </row>
    <row r="1752" spans="5:5" ht="18" customHeight="1">
      <c r="E1752" s="3">
        <v>158943</v>
      </c>
    </row>
    <row r="1753" spans="5:5" ht="18" customHeight="1">
      <c r="E1753" s="3">
        <v>171111</v>
      </c>
    </row>
    <row r="1754" spans="5:5" ht="18" customHeight="1">
      <c r="E1754" s="3">
        <v>75208</v>
      </c>
    </row>
    <row r="1755" spans="5:5" ht="18" customHeight="1">
      <c r="E1755" s="3">
        <v>6029</v>
      </c>
    </row>
    <row r="1756" spans="5:5" ht="18" customHeight="1">
      <c r="E1756" s="3">
        <v>50453</v>
      </c>
    </row>
    <row r="1757" spans="5:5" ht="18" customHeight="1">
      <c r="E1757" s="3">
        <v>26453</v>
      </c>
    </row>
    <row r="1758" spans="5:5" ht="18" customHeight="1">
      <c r="E1758" s="3">
        <v>34210</v>
      </c>
    </row>
    <row r="1759" spans="5:5" ht="18" customHeight="1">
      <c r="E1759" s="3">
        <v>119130</v>
      </c>
    </row>
    <row r="1760" spans="5:5" ht="18" customHeight="1">
      <c r="E1760" s="3">
        <v>119131</v>
      </c>
    </row>
    <row r="1761" spans="5:5" ht="18" customHeight="1">
      <c r="E1761" s="3">
        <v>119132</v>
      </c>
    </row>
    <row r="1762" spans="5:5" ht="18" customHeight="1">
      <c r="E1762" s="3">
        <v>34211</v>
      </c>
    </row>
    <row r="1763" spans="5:5" ht="18" customHeight="1">
      <c r="E1763" s="3">
        <v>6761</v>
      </c>
    </row>
    <row r="1764" spans="5:5" ht="18" customHeight="1">
      <c r="E1764" s="3">
        <v>34212</v>
      </c>
    </row>
    <row r="1765" spans="5:5" ht="18" customHeight="1">
      <c r="E1765" s="3">
        <v>34213</v>
      </c>
    </row>
    <row r="1766" spans="5:5" ht="18" customHeight="1">
      <c r="E1766" s="3">
        <v>34214</v>
      </c>
    </row>
    <row r="1767" spans="5:5" ht="18" customHeight="1">
      <c r="E1767" s="3">
        <v>34215</v>
      </c>
    </row>
    <row r="1768" spans="5:5" ht="18" customHeight="1">
      <c r="E1768" s="3">
        <v>34216</v>
      </c>
    </row>
    <row r="1769" spans="5:5" ht="18" customHeight="1">
      <c r="E1769" s="3">
        <v>6760</v>
      </c>
    </row>
    <row r="1770" spans="5:5" ht="18" customHeight="1">
      <c r="E1770" s="3">
        <v>34217</v>
      </c>
    </row>
    <row r="1771" spans="5:5" ht="18" customHeight="1">
      <c r="E1771" s="3">
        <v>34218</v>
      </c>
    </row>
    <row r="1772" spans="5:5" ht="18" customHeight="1">
      <c r="E1772" s="3">
        <v>119133</v>
      </c>
    </row>
    <row r="1773" spans="5:5" ht="18" customHeight="1">
      <c r="E1773" s="3">
        <v>119134</v>
      </c>
    </row>
    <row r="1774" spans="5:5" ht="18" customHeight="1">
      <c r="E1774" s="3">
        <v>34219</v>
      </c>
    </row>
    <row r="1775" spans="5:5" ht="18" customHeight="1">
      <c r="E1775" s="3">
        <v>34220</v>
      </c>
    </row>
    <row r="1776" spans="5:5" ht="18" customHeight="1">
      <c r="E1776" s="3">
        <v>34221</v>
      </c>
    </row>
    <row r="1777" spans="5:5" ht="18" customHeight="1">
      <c r="E1777" s="3">
        <v>6759</v>
      </c>
    </row>
    <row r="1778" spans="5:5" ht="18" customHeight="1">
      <c r="E1778" s="3">
        <v>34222</v>
      </c>
    </row>
    <row r="1779" spans="5:5" ht="18" customHeight="1">
      <c r="E1779" s="3">
        <v>34223</v>
      </c>
    </row>
    <row r="1780" spans="5:5" ht="18" customHeight="1">
      <c r="E1780" s="3">
        <v>119135</v>
      </c>
    </row>
    <row r="1781" spans="5:5" ht="18" customHeight="1">
      <c r="E1781" s="3">
        <v>119136</v>
      </c>
    </row>
    <row r="1782" spans="5:5" ht="18" customHeight="1">
      <c r="E1782" s="3">
        <v>34224</v>
      </c>
    </row>
    <row r="1783" spans="5:5" ht="18" customHeight="1">
      <c r="E1783" s="3">
        <v>119137</v>
      </c>
    </row>
    <row r="1784" spans="5:5" ht="18" customHeight="1">
      <c r="E1784" s="3">
        <v>119138</v>
      </c>
    </row>
    <row r="1785" spans="5:5" ht="18" customHeight="1">
      <c r="E1785" s="3">
        <v>34225</v>
      </c>
    </row>
    <row r="1786" spans="5:5" ht="18" customHeight="1">
      <c r="E1786" s="3">
        <v>34226</v>
      </c>
    </row>
    <row r="1787" spans="5:5" ht="18" customHeight="1">
      <c r="E1787" s="3">
        <v>34227</v>
      </c>
    </row>
    <row r="1788" spans="5:5" ht="18" customHeight="1">
      <c r="E1788" s="3">
        <v>34228</v>
      </c>
    </row>
    <row r="1789" spans="5:5" ht="18" customHeight="1">
      <c r="E1789" s="3">
        <v>34229</v>
      </c>
    </row>
    <row r="1790" spans="5:5" ht="18" customHeight="1">
      <c r="E1790" s="3">
        <v>34230</v>
      </c>
    </row>
    <row r="1791" spans="5:5" ht="18" customHeight="1">
      <c r="E1791" s="3">
        <v>34231</v>
      </c>
    </row>
    <row r="1792" spans="5:5" ht="18" customHeight="1">
      <c r="E1792" s="3">
        <v>34232</v>
      </c>
    </row>
    <row r="1793" spans="5:5" ht="18" customHeight="1">
      <c r="E1793" s="3">
        <v>42607</v>
      </c>
    </row>
    <row r="1794" spans="5:5" ht="18" customHeight="1">
      <c r="E1794" s="3">
        <v>119139</v>
      </c>
    </row>
    <row r="1795" spans="5:5" ht="18" customHeight="1">
      <c r="E1795" s="3">
        <v>119140</v>
      </c>
    </row>
    <row r="1796" spans="5:5" ht="18" customHeight="1">
      <c r="E1796" s="3">
        <v>34233</v>
      </c>
    </row>
    <row r="1797" spans="5:5" ht="18" customHeight="1">
      <c r="E1797" s="3">
        <v>119141</v>
      </c>
    </row>
    <row r="1798" spans="5:5" ht="18" customHeight="1">
      <c r="E1798" s="3">
        <v>34234</v>
      </c>
    </row>
    <row r="1799" spans="5:5" ht="18" customHeight="1">
      <c r="E1799" s="3">
        <v>6762</v>
      </c>
    </row>
    <row r="1800" spans="5:5" ht="18" customHeight="1">
      <c r="E1800" s="3">
        <v>34235</v>
      </c>
    </row>
    <row r="1801" spans="5:5" ht="18" customHeight="1">
      <c r="E1801" s="3">
        <v>34236</v>
      </c>
    </row>
    <row r="1802" spans="5:5" ht="18" customHeight="1">
      <c r="E1802" s="3">
        <v>34237</v>
      </c>
    </row>
    <row r="1803" spans="5:5" ht="18" customHeight="1">
      <c r="E1803" s="3">
        <v>34238</v>
      </c>
    </row>
    <row r="1804" spans="5:5" ht="18" customHeight="1">
      <c r="E1804" s="3">
        <v>38663</v>
      </c>
    </row>
    <row r="1805" spans="5:5" ht="18" customHeight="1">
      <c r="E1805" s="3">
        <v>34239</v>
      </c>
    </row>
    <row r="1806" spans="5:5" ht="18" customHeight="1">
      <c r="E1806" s="3">
        <v>34240</v>
      </c>
    </row>
    <row r="1807" spans="5:5" ht="18" customHeight="1">
      <c r="E1807" s="3">
        <v>6032</v>
      </c>
    </row>
    <row r="1808" spans="5:5" ht="18" customHeight="1">
      <c r="E1808" s="3">
        <v>10063</v>
      </c>
    </row>
    <row r="1809" spans="5:5" ht="18" customHeight="1">
      <c r="E1809" s="3">
        <v>35557</v>
      </c>
    </row>
    <row r="1810" spans="5:5" ht="18" customHeight="1">
      <c r="E1810" s="3">
        <v>180028</v>
      </c>
    </row>
    <row r="1811" spans="5:5" ht="18" customHeight="1">
      <c r="E1811" s="3">
        <v>177771</v>
      </c>
    </row>
    <row r="1812" spans="5:5" ht="18" customHeight="1">
      <c r="E1812" s="3">
        <v>177772</v>
      </c>
    </row>
    <row r="1813" spans="5:5" ht="18" customHeight="1">
      <c r="E1813" s="3">
        <v>177773</v>
      </c>
    </row>
    <row r="1814" spans="5:5" ht="18" customHeight="1">
      <c r="E1814" s="3">
        <v>177777</v>
      </c>
    </row>
    <row r="1815" spans="5:5" ht="18" customHeight="1">
      <c r="E1815" s="3">
        <v>177778</v>
      </c>
    </row>
    <row r="1816" spans="5:5" ht="18" customHeight="1">
      <c r="E1816" s="3">
        <v>177779</v>
      </c>
    </row>
    <row r="1817" spans="5:5" ht="18" customHeight="1">
      <c r="E1817" s="3">
        <v>177782</v>
      </c>
    </row>
    <row r="1818" spans="5:5" ht="18" customHeight="1">
      <c r="E1818" s="3">
        <v>177780</v>
      </c>
    </row>
    <row r="1819" spans="5:5" ht="18" customHeight="1">
      <c r="E1819" s="3">
        <v>177781</v>
      </c>
    </row>
    <row r="1820" spans="5:5" ht="18" customHeight="1">
      <c r="E1820" s="3">
        <v>177776</v>
      </c>
    </row>
    <row r="1821" spans="5:5" ht="18" customHeight="1">
      <c r="E1821" s="3">
        <v>180160</v>
      </c>
    </row>
    <row r="1822" spans="5:5" ht="18" customHeight="1">
      <c r="E1822" s="3">
        <v>177774</v>
      </c>
    </row>
    <row r="1823" spans="5:5" ht="18" customHeight="1">
      <c r="E1823" s="3">
        <v>177775</v>
      </c>
    </row>
    <row r="1824" spans="5:5" ht="18" customHeight="1">
      <c r="E1824" s="3">
        <v>177978</v>
      </c>
    </row>
    <row r="1825" spans="5:5" ht="18" customHeight="1">
      <c r="E1825" s="3">
        <v>177783</v>
      </c>
    </row>
    <row r="1826" spans="5:5" ht="18" customHeight="1">
      <c r="E1826" s="3">
        <v>35559</v>
      </c>
    </row>
    <row r="1827" spans="5:5" ht="18" customHeight="1">
      <c r="E1827" s="3">
        <v>35560</v>
      </c>
    </row>
    <row r="1828" spans="5:5" ht="18" customHeight="1">
      <c r="E1828" s="3">
        <v>35561</v>
      </c>
    </row>
    <row r="1829" spans="5:5" ht="18" customHeight="1">
      <c r="E1829" s="3">
        <v>179843</v>
      </c>
    </row>
    <row r="1830" spans="5:5" ht="18" customHeight="1">
      <c r="E1830" s="3">
        <v>179844</v>
      </c>
    </row>
    <row r="1831" spans="5:5" ht="18" customHeight="1">
      <c r="E1831" s="3">
        <v>38664</v>
      </c>
    </row>
    <row r="1832" spans="5:5" ht="18" customHeight="1">
      <c r="E1832" s="3">
        <v>35562</v>
      </c>
    </row>
    <row r="1833" spans="5:5" ht="18" customHeight="1">
      <c r="E1833" s="3">
        <v>35563</v>
      </c>
    </row>
    <row r="1834" spans="5:5" ht="18" customHeight="1">
      <c r="E1834" s="3">
        <v>179845</v>
      </c>
    </row>
    <row r="1835" spans="5:5" ht="18" customHeight="1">
      <c r="E1835" s="3">
        <v>35564</v>
      </c>
    </row>
    <row r="1836" spans="5:5" ht="18" customHeight="1">
      <c r="E1836" s="3">
        <v>35565</v>
      </c>
    </row>
    <row r="1837" spans="5:5" ht="18" customHeight="1">
      <c r="E1837" s="3">
        <v>35566</v>
      </c>
    </row>
    <row r="1838" spans="5:5" ht="18" customHeight="1">
      <c r="E1838" s="3">
        <v>35567</v>
      </c>
    </row>
    <row r="1839" spans="5:5" ht="18" customHeight="1">
      <c r="E1839" s="3">
        <v>35568</v>
      </c>
    </row>
    <row r="1840" spans="5:5" ht="18" customHeight="1">
      <c r="E1840" s="3">
        <v>49790</v>
      </c>
    </row>
    <row r="1841" spans="5:5" ht="18" customHeight="1">
      <c r="E1841" s="3">
        <v>178037</v>
      </c>
    </row>
    <row r="1842" spans="5:5" ht="18" customHeight="1">
      <c r="E1842" s="3">
        <v>177920</v>
      </c>
    </row>
    <row r="1843" spans="5:5" ht="18" customHeight="1">
      <c r="E1843" s="3">
        <v>177921</v>
      </c>
    </row>
    <row r="1844" spans="5:5" ht="18" customHeight="1">
      <c r="E1844" s="3">
        <v>177923</v>
      </c>
    </row>
    <row r="1845" spans="5:5" ht="18" customHeight="1">
      <c r="E1845" s="3">
        <v>177924</v>
      </c>
    </row>
    <row r="1846" spans="5:5" ht="18" customHeight="1">
      <c r="E1846" s="3">
        <v>177925</v>
      </c>
    </row>
    <row r="1847" spans="5:5" ht="18" customHeight="1">
      <c r="E1847" s="3">
        <v>177922</v>
      </c>
    </row>
    <row r="1848" spans="5:5" ht="18" customHeight="1">
      <c r="E1848" s="3">
        <v>177926</v>
      </c>
    </row>
    <row r="1849" spans="5:5" ht="18" customHeight="1">
      <c r="E1849" s="3">
        <v>177927</v>
      </c>
    </row>
    <row r="1850" spans="5:5" ht="18" customHeight="1">
      <c r="E1850" s="3">
        <v>178038</v>
      </c>
    </row>
    <row r="1851" spans="5:5" ht="18" customHeight="1">
      <c r="E1851" s="3">
        <v>178039</v>
      </c>
    </row>
    <row r="1852" spans="5:5" ht="18" customHeight="1">
      <c r="E1852" s="3">
        <v>178040</v>
      </c>
    </row>
    <row r="1853" spans="5:5" ht="18" customHeight="1">
      <c r="E1853" s="3">
        <v>178042</v>
      </c>
    </row>
    <row r="1854" spans="5:5" ht="18" customHeight="1">
      <c r="E1854" s="3">
        <v>178041</v>
      </c>
    </row>
    <row r="1855" spans="5:5" ht="18" customHeight="1">
      <c r="E1855" s="3">
        <v>177928</v>
      </c>
    </row>
    <row r="1856" spans="5:5" ht="18" customHeight="1">
      <c r="E1856" s="3">
        <v>35570</v>
      </c>
    </row>
    <row r="1857" spans="5:5" ht="18" customHeight="1">
      <c r="E1857" s="3">
        <v>180029</v>
      </c>
    </row>
    <row r="1858" spans="5:5" ht="18" customHeight="1">
      <c r="E1858" s="3">
        <v>177934</v>
      </c>
    </row>
    <row r="1859" spans="5:5" ht="18" customHeight="1">
      <c r="E1859" s="3">
        <v>177935</v>
      </c>
    </row>
    <row r="1860" spans="5:5" ht="18" customHeight="1">
      <c r="E1860" s="3">
        <v>49831</v>
      </c>
    </row>
    <row r="1861" spans="5:5" ht="18" customHeight="1">
      <c r="E1861" s="3">
        <v>177936</v>
      </c>
    </row>
    <row r="1862" spans="5:5" ht="18" customHeight="1">
      <c r="E1862" s="3">
        <v>177948</v>
      </c>
    </row>
    <row r="1863" spans="5:5" ht="18" customHeight="1">
      <c r="E1863" s="3">
        <v>177937</v>
      </c>
    </row>
    <row r="1864" spans="5:5" ht="18" customHeight="1">
      <c r="E1864" s="3">
        <v>177938</v>
      </c>
    </row>
    <row r="1865" spans="5:5" ht="18" customHeight="1">
      <c r="E1865" s="3">
        <v>177939</v>
      </c>
    </row>
    <row r="1866" spans="5:5" ht="18" customHeight="1">
      <c r="E1866" s="3">
        <v>177940</v>
      </c>
    </row>
    <row r="1867" spans="5:5" ht="18" customHeight="1">
      <c r="E1867" s="3">
        <v>180030</v>
      </c>
    </row>
    <row r="1868" spans="5:5" ht="18" customHeight="1">
      <c r="E1868" s="3">
        <v>177941</v>
      </c>
    </row>
    <row r="1869" spans="5:5" ht="18" customHeight="1">
      <c r="E1869" s="3">
        <v>180031</v>
      </c>
    </row>
    <row r="1870" spans="5:5" ht="18" customHeight="1">
      <c r="E1870" s="3">
        <v>177942</v>
      </c>
    </row>
    <row r="1871" spans="5:5" ht="18" customHeight="1">
      <c r="E1871" s="3">
        <v>177943</v>
      </c>
    </row>
    <row r="1872" spans="5:5" ht="18" customHeight="1">
      <c r="E1872" s="3">
        <v>177946</v>
      </c>
    </row>
    <row r="1873" spans="5:5" ht="18" customHeight="1">
      <c r="E1873" s="3">
        <v>177944</v>
      </c>
    </row>
    <row r="1874" spans="5:5" ht="18" customHeight="1">
      <c r="E1874" s="3">
        <v>180032</v>
      </c>
    </row>
    <row r="1875" spans="5:5" ht="18" customHeight="1">
      <c r="E1875" s="3">
        <v>177945</v>
      </c>
    </row>
    <row r="1876" spans="5:5" ht="18" customHeight="1">
      <c r="E1876" s="3">
        <v>177947</v>
      </c>
    </row>
    <row r="1877" spans="5:5" ht="18" customHeight="1">
      <c r="E1877" s="3">
        <v>179853</v>
      </c>
    </row>
    <row r="1878" spans="5:5" ht="18" customHeight="1">
      <c r="E1878" s="3">
        <v>177929</v>
      </c>
    </row>
    <row r="1879" spans="5:5" ht="18" customHeight="1">
      <c r="E1879" s="3">
        <v>49782</v>
      </c>
    </row>
    <row r="1880" spans="5:5" ht="18" customHeight="1">
      <c r="E1880" s="3">
        <v>177933</v>
      </c>
    </row>
    <row r="1881" spans="5:5" ht="18" customHeight="1">
      <c r="E1881" s="3">
        <v>177930</v>
      </c>
    </row>
    <row r="1882" spans="5:5" ht="18" customHeight="1">
      <c r="E1882" s="3">
        <v>177949</v>
      </c>
    </row>
    <row r="1883" spans="5:5" ht="18" customHeight="1">
      <c r="E1883" s="3">
        <v>177931</v>
      </c>
    </row>
    <row r="1884" spans="5:5" ht="18" customHeight="1">
      <c r="E1884" s="3">
        <v>177951</v>
      </c>
    </row>
    <row r="1885" spans="5:5" ht="18" customHeight="1">
      <c r="E1885" s="3">
        <v>177952</v>
      </c>
    </row>
    <row r="1886" spans="5:5" ht="18" customHeight="1">
      <c r="E1886" s="3">
        <v>177953</v>
      </c>
    </row>
    <row r="1887" spans="5:5" ht="18" customHeight="1">
      <c r="E1887" s="3">
        <v>177955</v>
      </c>
    </row>
    <row r="1888" spans="5:5" ht="18" customHeight="1">
      <c r="E1888" s="3">
        <v>177956</v>
      </c>
    </row>
    <row r="1889" spans="5:5" ht="18" customHeight="1">
      <c r="E1889" s="3">
        <v>177957</v>
      </c>
    </row>
    <row r="1890" spans="5:5" ht="18" customHeight="1">
      <c r="E1890" s="3">
        <v>177958</v>
      </c>
    </row>
    <row r="1891" spans="5:5" ht="18" customHeight="1">
      <c r="E1891" s="3">
        <v>177959</v>
      </c>
    </row>
    <row r="1892" spans="5:5" ht="18" customHeight="1">
      <c r="E1892" s="3">
        <v>177954</v>
      </c>
    </row>
    <row r="1893" spans="5:5" ht="18" customHeight="1">
      <c r="E1893" s="3">
        <v>177960</v>
      </c>
    </row>
    <row r="1894" spans="5:5" ht="18" customHeight="1">
      <c r="E1894" s="3">
        <v>177932</v>
      </c>
    </row>
    <row r="1895" spans="5:5" ht="18" customHeight="1">
      <c r="E1895" s="3">
        <v>177961</v>
      </c>
    </row>
    <row r="1896" spans="5:5" ht="18" customHeight="1">
      <c r="E1896" s="3">
        <v>180513</v>
      </c>
    </row>
    <row r="1897" spans="5:5" ht="18" customHeight="1">
      <c r="E1897" s="3">
        <v>180514</v>
      </c>
    </row>
    <row r="1898" spans="5:5" ht="18" customHeight="1">
      <c r="E1898" s="3">
        <v>180515</v>
      </c>
    </row>
    <row r="1899" spans="5:5" ht="18" customHeight="1">
      <c r="E1899" s="3">
        <v>180516</v>
      </c>
    </row>
    <row r="1900" spans="5:5" ht="18" customHeight="1">
      <c r="E1900" s="3">
        <v>180517</v>
      </c>
    </row>
    <row r="1901" spans="5:5" ht="18" customHeight="1">
      <c r="E1901" s="3">
        <v>180518</v>
      </c>
    </row>
    <row r="1902" spans="5:5" ht="18" customHeight="1">
      <c r="E1902" s="3">
        <v>180519</v>
      </c>
    </row>
    <row r="1903" spans="5:5" ht="18" customHeight="1">
      <c r="E1903" s="3">
        <v>180520</v>
      </c>
    </row>
    <row r="1904" spans="5:5" ht="18" customHeight="1">
      <c r="E1904" s="3">
        <v>180521</v>
      </c>
    </row>
    <row r="1905" spans="5:5" ht="18" customHeight="1">
      <c r="E1905" s="3">
        <v>171107</v>
      </c>
    </row>
    <row r="1906" spans="5:5" ht="18" customHeight="1">
      <c r="E1906" s="3">
        <v>171108</v>
      </c>
    </row>
    <row r="1907" spans="5:5" ht="18" customHeight="1">
      <c r="E1907" s="3">
        <v>177964</v>
      </c>
    </row>
    <row r="1908" spans="5:5" ht="18" customHeight="1">
      <c r="E1908" s="3">
        <v>177965</v>
      </c>
    </row>
    <row r="1909" spans="5:5" ht="18" customHeight="1">
      <c r="E1909" s="3">
        <v>180159</v>
      </c>
    </row>
    <row r="1910" spans="5:5" ht="18" customHeight="1">
      <c r="E1910" s="3">
        <v>177966</v>
      </c>
    </row>
    <row r="1911" spans="5:5" ht="18" customHeight="1">
      <c r="E1911" s="3">
        <v>177967</v>
      </c>
    </row>
    <row r="1912" spans="5:5" ht="18" customHeight="1">
      <c r="E1912" s="3">
        <v>177968</v>
      </c>
    </row>
    <row r="1913" spans="5:5" ht="18" customHeight="1">
      <c r="E1913" s="3">
        <v>177969</v>
      </c>
    </row>
    <row r="1914" spans="5:5" ht="18" customHeight="1">
      <c r="E1914" s="3">
        <v>177970</v>
      </c>
    </row>
    <row r="1915" spans="5:5" ht="18" customHeight="1">
      <c r="E1915" s="3">
        <v>177971</v>
      </c>
    </row>
    <row r="1916" spans="5:5" ht="18" customHeight="1">
      <c r="E1916" s="3">
        <v>177972</v>
      </c>
    </row>
    <row r="1917" spans="5:5" ht="18" customHeight="1">
      <c r="E1917" s="3">
        <v>177973</v>
      </c>
    </row>
    <row r="1918" spans="5:5" ht="18" customHeight="1">
      <c r="E1918" s="3">
        <v>177975</v>
      </c>
    </row>
    <row r="1919" spans="5:5" ht="18" customHeight="1">
      <c r="E1919" s="3">
        <v>177974</v>
      </c>
    </row>
    <row r="1920" spans="5:5" ht="18" customHeight="1">
      <c r="E1920" s="3">
        <v>180024</v>
      </c>
    </row>
    <row r="1921" spans="5:5" ht="18" customHeight="1">
      <c r="E1921" s="3">
        <v>177976</v>
      </c>
    </row>
    <row r="1922" spans="5:5" ht="18" customHeight="1">
      <c r="E1922" s="3">
        <v>177977</v>
      </c>
    </row>
    <row r="1923" spans="5:5" ht="18" customHeight="1">
      <c r="E1923" s="3">
        <v>180025</v>
      </c>
    </row>
    <row r="1924" spans="5:5" ht="18" customHeight="1">
      <c r="E1924" s="3">
        <v>177979</v>
      </c>
    </row>
    <row r="1925" spans="5:5" ht="18" customHeight="1">
      <c r="E1925" s="3">
        <v>177980</v>
      </c>
    </row>
    <row r="1926" spans="5:5" ht="18" customHeight="1">
      <c r="E1926" s="3">
        <v>177962</v>
      </c>
    </row>
    <row r="1927" spans="5:5" ht="18" customHeight="1">
      <c r="E1927" s="3">
        <v>177963</v>
      </c>
    </row>
    <row r="1928" spans="5:5" ht="18" customHeight="1">
      <c r="E1928" s="3">
        <v>177981</v>
      </c>
    </row>
    <row r="1929" spans="5:5" ht="18" customHeight="1">
      <c r="E1929" s="3">
        <v>177982</v>
      </c>
    </row>
    <row r="1930" spans="5:5" ht="18" customHeight="1">
      <c r="E1930" s="3">
        <v>177983</v>
      </c>
    </row>
    <row r="1931" spans="5:5" ht="18" customHeight="1">
      <c r="E1931" s="3">
        <v>180026</v>
      </c>
    </row>
    <row r="1932" spans="5:5" ht="18" customHeight="1">
      <c r="E1932" s="3">
        <v>177984</v>
      </c>
    </row>
    <row r="1933" spans="5:5" ht="18" customHeight="1">
      <c r="E1933" s="3">
        <v>177985</v>
      </c>
    </row>
    <row r="1934" spans="5:5" ht="18" customHeight="1">
      <c r="E1934" s="3">
        <v>177986</v>
      </c>
    </row>
    <row r="1935" spans="5:5" ht="18" customHeight="1">
      <c r="E1935" s="3">
        <v>177987</v>
      </c>
    </row>
    <row r="1936" spans="5:5" ht="18" customHeight="1">
      <c r="E1936" s="3">
        <v>180027</v>
      </c>
    </row>
    <row r="1937" spans="5:5" ht="18" customHeight="1">
      <c r="E1937" s="3">
        <v>177995</v>
      </c>
    </row>
    <row r="1938" spans="5:5" ht="18" customHeight="1">
      <c r="E1938" s="3">
        <v>177996</v>
      </c>
    </row>
    <row r="1939" spans="5:5" ht="18" customHeight="1">
      <c r="E1939" s="3">
        <v>177993</v>
      </c>
    </row>
    <row r="1940" spans="5:5" ht="18" customHeight="1">
      <c r="E1940" s="3">
        <v>177994</v>
      </c>
    </row>
    <row r="1941" spans="5:5" ht="18" customHeight="1">
      <c r="E1941" s="3">
        <v>177997</v>
      </c>
    </row>
    <row r="1942" spans="5:5" ht="18" customHeight="1">
      <c r="E1942" s="3">
        <v>177998</v>
      </c>
    </row>
    <row r="1943" spans="5:5" ht="18" customHeight="1">
      <c r="E1943" s="3">
        <v>177999</v>
      </c>
    </row>
    <row r="1944" spans="5:5" ht="18" customHeight="1">
      <c r="E1944" s="3">
        <v>178000</v>
      </c>
    </row>
    <row r="1945" spans="5:5" ht="18" customHeight="1">
      <c r="E1945" s="3">
        <v>178001</v>
      </c>
    </row>
    <row r="1946" spans="5:5" ht="18" customHeight="1">
      <c r="E1946" s="3">
        <v>180033</v>
      </c>
    </row>
    <row r="1947" spans="5:5" ht="18" customHeight="1">
      <c r="E1947" s="3">
        <v>178010</v>
      </c>
    </row>
    <row r="1948" spans="5:5" ht="18" customHeight="1">
      <c r="E1948" s="3">
        <v>178013</v>
      </c>
    </row>
    <row r="1949" spans="5:5" ht="18" customHeight="1">
      <c r="E1949" s="3">
        <v>178011</v>
      </c>
    </row>
    <row r="1950" spans="5:5" ht="18" customHeight="1">
      <c r="E1950" s="3">
        <v>178012</v>
      </c>
    </row>
    <row r="1951" spans="5:5" ht="18" customHeight="1">
      <c r="E1951" s="3">
        <v>178014</v>
      </c>
    </row>
    <row r="1952" spans="5:5" ht="18" customHeight="1">
      <c r="E1952" s="3">
        <v>178015</v>
      </c>
    </row>
    <row r="1953" spans="5:5" ht="18" customHeight="1">
      <c r="E1953" s="3">
        <v>178016</v>
      </c>
    </row>
    <row r="1954" spans="5:5" ht="18" customHeight="1">
      <c r="E1954" s="3">
        <v>178017</v>
      </c>
    </row>
    <row r="1955" spans="5:5" ht="18" customHeight="1">
      <c r="E1955" s="3">
        <v>178018</v>
      </c>
    </row>
    <row r="1956" spans="5:5" ht="18" customHeight="1">
      <c r="E1956" s="3">
        <v>180034</v>
      </c>
    </row>
    <row r="1957" spans="5:5" ht="18" customHeight="1">
      <c r="E1957" s="3">
        <v>178019</v>
      </c>
    </row>
    <row r="1958" spans="5:5" ht="18" customHeight="1">
      <c r="E1958" s="3">
        <v>178020</v>
      </c>
    </row>
    <row r="1959" spans="5:5" ht="18" customHeight="1">
      <c r="E1959" s="3">
        <v>178021</v>
      </c>
    </row>
    <row r="1960" spans="5:5" ht="18" customHeight="1">
      <c r="E1960" s="3">
        <v>178022</v>
      </c>
    </row>
    <row r="1961" spans="5:5" ht="18" customHeight="1">
      <c r="E1961" s="3">
        <v>178023</v>
      </c>
    </row>
    <row r="1962" spans="5:5" ht="18" customHeight="1">
      <c r="E1962" s="3">
        <v>178024</v>
      </c>
    </row>
    <row r="1963" spans="5:5" ht="18" customHeight="1">
      <c r="E1963" s="3">
        <v>178025</v>
      </c>
    </row>
    <row r="1964" spans="5:5" ht="18" customHeight="1">
      <c r="E1964" s="3">
        <v>178026</v>
      </c>
    </row>
    <row r="1965" spans="5:5" ht="18" customHeight="1">
      <c r="E1965" s="3">
        <v>178027</v>
      </c>
    </row>
    <row r="1966" spans="5:5" ht="18" customHeight="1">
      <c r="E1966" s="3">
        <v>84146</v>
      </c>
    </row>
    <row r="1967" spans="5:5" ht="18" customHeight="1">
      <c r="E1967" s="3">
        <v>35576</v>
      </c>
    </row>
    <row r="1968" spans="5:5" ht="18" customHeight="1">
      <c r="E1968" s="3">
        <v>180035</v>
      </c>
    </row>
    <row r="1969" spans="5:5" ht="18" customHeight="1">
      <c r="E1969" s="3">
        <v>180036</v>
      </c>
    </row>
    <row r="1970" spans="5:5" ht="18" customHeight="1">
      <c r="E1970" s="3">
        <v>182235</v>
      </c>
    </row>
    <row r="1971" spans="5:5" ht="18" customHeight="1">
      <c r="E1971" s="3">
        <v>178028</v>
      </c>
    </row>
    <row r="1972" spans="5:5" ht="18" customHeight="1">
      <c r="E1972" s="3">
        <v>124313</v>
      </c>
    </row>
    <row r="1973" spans="5:5" ht="18" customHeight="1">
      <c r="E1973" s="3">
        <v>182236</v>
      </c>
    </row>
    <row r="1974" spans="5:5" ht="18" customHeight="1">
      <c r="E1974" s="3">
        <v>178029</v>
      </c>
    </row>
    <row r="1975" spans="5:5" ht="18" customHeight="1">
      <c r="E1975" s="3">
        <v>180037</v>
      </c>
    </row>
    <row r="1976" spans="5:5" ht="18" customHeight="1">
      <c r="E1976" s="3">
        <v>147699</v>
      </c>
    </row>
    <row r="1977" spans="5:5" ht="18" customHeight="1">
      <c r="E1977" s="3">
        <v>88533</v>
      </c>
    </row>
    <row r="1978" spans="5:5" ht="18" customHeight="1">
      <c r="E1978" s="3">
        <v>21669</v>
      </c>
    </row>
    <row r="1979" spans="5:5" ht="18" customHeight="1">
      <c r="E1979" s="3">
        <v>35558</v>
      </c>
    </row>
    <row r="1980" spans="5:5" ht="18" customHeight="1">
      <c r="E1980" s="3">
        <v>10064</v>
      </c>
    </row>
    <row r="1981" spans="5:5" ht="18" customHeight="1">
      <c r="E1981" s="3">
        <v>107057</v>
      </c>
    </row>
    <row r="1982" spans="5:5" ht="18" customHeight="1">
      <c r="E1982" s="3">
        <v>107058</v>
      </c>
    </row>
    <row r="1983" spans="5:5" ht="18" customHeight="1">
      <c r="E1983" s="3">
        <v>175530</v>
      </c>
    </row>
    <row r="1984" spans="5:5" ht="18" customHeight="1">
      <c r="E1984" s="3">
        <v>175531</v>
      </c>
    </row>
    <row r="1985" spans="5:5" ht="18" customHeight="1">
      <c r="E1985" s="3">
        <v>175532</v>
      </c>
    </row>
    <row r="1986" spans="5:5" ht="18" customHeight="1">
      <c r="E1986" s="3">
        <v>175533</v>
      </c>
    </row>
    <row r="1987" spans="5:5" ht="18" customHeight="1">
      <c r="E1987" s="3">
        <v>175534</v>
      </c>
    </row>
    <row r="1988" spans="5:5" ht="18" customHeight="1">
      <c r="E1988" s="3">
        <v>175535</v>
      </c>
    </row>
    <row r="1989" spans="5:5" ht="18" customHeight="1">
      <c r="E1989" s="3">
        <v>175536</v>
      </c>
    </row>
    <row r="1990" spans="5:5" ht="18" customHeight="1">
      <c r="E1990" s="3">
        <v>175537</v>
      </c>
    </row>
    <row r="1991" spans="5:5" ht="18" customHeight="1">
      <c r="E1991" s="3">
        <v>175538</v>
      </c>
    </row>
    <row r="1992" spans="5:5" ht="18" customHeight="1">
      <c r="E1992" s="3">
        <v>175539</v>
      </c>
    </row>
    <row r="1993" spans="5:5" ht="18" customHeight="1">
      <c r="E1993" s="3">
        <v>175540</v>
      </c>
    </row>
    <row r="1994" spans="5:5" ht="18" customHeight="1">
      <c r="E1994" s="3">
        <v>175541</v>
      </c>
    </row>
    <row r="1995" spans="5:5" ht="18" customHeight="1">
      <c r="E1995" s="3">
        <v>175542</v>
      </c>
    </row>
    <row r="1996" spans="5:5" ht="18" customHeight="1">
      <c r="E1996" s="3">
        <v>175543</v>
      </c>
    </row>
    <row r="1997" spans="5:5" ht="18" customHeight="1">
      <c r="E1997" s="3">
        <v>176932</v>
      </c>
    </row>
    <row r="1998" spans="5:5" ht="18" customHeight="1">
      <c r="E1998" s="3">
        <v>107059</v>
      </c>
    </row>
    <row r="1999" spans="5:5" ht="18" customHeight="1">
      <c r="E1999" s="3">
        <v>107060</v>
      </c>
    </row>
    <row r="2000" spans="5:5" ht="18" customHeight="1">
      <c r="E2000" s="3">
        <v>175544</v>
      </c>
    </row>
    <row r="2001" spans="5:5" ht="18" customHeight="1">
      <c r="E2001" s="3">
        <v>175551</v>
      </c>
    </row>
    <row r="2002" spans="5:5" ht="18" customHeight="1">
      <c r="E2002" s="3">
        <v>175545</v>
      </c>
    </row>
    <row r="2003" spans="5:5" ht="18" customHeight="1">
      <c r="E2003" s="3">
        <v>175546</v>
      </c>
    </row>
    <row r="2004" spans="5:5" ht="18" customHeight="1">
      <c r="E2004" s="3">
        <v>175547</v>
      </c>
    </row>
    <row r="2005" spans="5:5" ht="18" customHeight="1">
      <c r="E2005" s="3">
        <v>175552</v>
      </c>
    </row>
    <row r="2006" spans="5:5" ht="18" customHeight="1">
      <c r="E2006" s="3">
        <v>175548</v>
      </c>
    </row>
    <row r="2007" spans="5:5" ht="18" customHeight="1">
      <c r="E2007" s="3">
        <v>175549</v>
      </c>
    </row>
    <row r="2008" spans="5:5" ht="18" customHeight="1">
      <c r="E2008" s="3">
        <v>175550</v>
      </c>
    </row>
    <row r="2009" spans="5:5" ht="18" customHeight="1">
      <c r="E2009" s="3">
        <v>133187</v>
      </c>
    </row>
    <row r="2010" spans="5:5" ht="18" customHeight="1">
      <c r="E2010" s="3">
        <v>175553</v>
      </c>
    </row>
    <row r="2011" spans="5:5" ht="18" customHeight="1">
      <c r="E2011" s="3">
        <v>175554</v>
      </c>
    </row>
    <row r="2012" spans="5:5" ht="18" customHeight="1">
      <c r="E2012" s="3">
        <v>133189</v>
      </c>
    </row>
    <row r="2013" spans="5:5" ht="18" customHeight="1">
      <c r="E2013" s="3">
        <v>175556</v>
      </c>
    </row>
    <row r="2014" spans="5:5" ht="18" customHeight="1">
      <c r="E2014" s="3">
        <v>175557</v>
      </c>
    </row>
    <row r="2015" spans="5:5" ht="18" customHeight="1">
      <c r="E2015" s="3">
        <v>133188</v>
      </c>
    </row>
    <row r="2016" spans="5:5" ht="18" customHeight="1">
      <c r="E2016" s="3">
        <v>175555</v>
      </c>
    </row>
    <row r="2017" spans="5:5" ht="18" customHeight="1">
      <c r="E2017" s="3">
        <v>133190</v>
      </c>
    </row>
    <row r="2018" spans="5:5" ht="18" customHeight="1">
      <c r="E2018" s="3">
        <v>133191</v>
      </c>
    </row>
    <row r="2019" spans="5:5" ht="18" customHeight="1">
      <c r="E2019" s="3">
        <v>133193</v>
      </c>
    </row>
    <row r="2020" spans="5:5" ht="18" customHeight="1">
      <c r="E2020" s="3">
        <v>173652</v>
      </c>
    </row>
    <row r="2021" spans="5:5" ht="18" customHeight="1">
      <c r="E2021" s="3">
        <v>133192</v>
      </c>
    </row>
    <row r="2022" spans="5:5" ht="18" customHeight="1">
      <c r="E2022" s="3">
        <v>173651</v>
      </c>
    </row>
    <row r="2023" spans="5:5" ht="18" customHeight="1">
      <c r="E2023" s="3">
        <v>133194</v>
      </c>
    </row>
    <row r="2024" spans="5:5" ht="18" customHeight="1">
      <c r="E2024" s="3">
        <v>107062</v>
      </c>
    </row>
    <row r="2025" spans="5:5" ht="18" customHeight="1">
      <c r="E2025" s="3">
        <v>171112</v>
      </c>
    </row>
    <row r="2026" spans="5:5" ht="18" customHeight="1">
      <c r="E2026" s="3">
        <v>171113</v>
      </c>
    </row>
    <row r="2027" spans="5:5" ht="18" customHeight="1">
      <c r="E2027" s="3">
        <v>175558</v>
      </c>
    </row>
    <row r="2028" spans="5:5" ht="18" customHeight="1">
      <c r="E2028" s="3">
        <v>175559</v>
      </c>
    </row>
    <row r="2029" spans="5:5" ht="18" customHeight="1">
      <c r="E2029" s="3">
        <v>175560</v>
      </c>
    </row>
    <row r="2030" spans="5:5" ht="18" customHeight="1">
      <c r="E2030" s="3">
        <v>175561</v>
      </c>
    </row>
    <row r="2031" spans="5:5" ht="18" customHeight="1">
      <c r="E2031" s="3">
        <v>175562</v>
      </c>
    </row>
    <row r="2032" spans="5:5" ht="18" customHeight="1">
      <c r="E2032" s="3">
        <v>175563</v>
      </c>
    </row>
    <row r="2033" spans="5:5" ht="18" customHeight="1">
      <c r="E2033" s="3">
        <v>175564</v>
      </c>
    </row>
    <row r="2034" spans="5:5" ht="18" customHeight="1">
      <c r="E2034" s="3">
        <v>175565</v>
      </c>
    </row>
    <row r="2035" spans="5:5" ht="18" customHeight="1">
      <c r="E2035" s="3">
        <v>175566</v>
      </c>
    </row>
    <row r="2036" spans="5:5" ht="18" customHeight="1">
      <c r="E2036" s="3">
        <v>175567</v>
      </c>
    </row>
    <row r="2037" spans="5:5" ht="18" customHeight="1">
      <c r="E2037" s="3">
        <v>107063</v>
      </c>
    </row>
    <row r="2038" spans="5:5" ht="18" customHeight="1">
      <c r="E2038" s="3">
        <v>173653</v>
      </c>
    </row>
    <row r="2039" spans="5:5" ht="18" customHeight="1">
      <c r="E2039" s="3">
        <v>173654</v>
      </c>
    </row>
    <row r="2040" spans="5:5" ht="18" customHeight="1">
      <c r="E2040" s="3">
        <v>173655</v>
      </c>
    </row>
    <row r="2041" spans="5:5" ht="18" customHeight="1">
      <c r="E2041" s="3">
        <v>173656</v>
      </c>
    </row>
    <row r="2042" spans="5:5" ht="18" customHeight="1">
      <c r="E2042" s="3">
        <v>173657</v>
      </c>
    </row>
    <row r="2043" spans="5:5" ht="18" customHeight="1">
      <c r="E2043" s="3">
        <v>173658</v>
      </c>
    </row>
    <row r="2044" spans="5:5" ht="18" customHeight="1">
      <c r="E2044" s="3">
        <v>173659</v>
      </c>
    </row>
    <row r="2045" spans="5:5" ht="18" customHeight="1">
      <c r="E2045" s="3">
        <v>173660</v>
      </c>
    </row>
    <row r="2046" spans="5:5" ht="18" customHeight="1">
      <c r="E2046" s="3">
        <v>173666</v>
      </c>
    </row>
    <row r="2047" spans="5:5" ht="18" customHeight="1">
      <c r="E2047" s="3">
        <v>173667</v>
      </c>
    </row>
    <row r="2048" spans="5:5" ht="18" customHeight="1">
      <c r="E2048" s="3">
        <v>133196</v>
      </c>
    </row>
    <row r="2049" spans="5:5" ht="18" customHeight="1">
      <c r="E2049" s="3">
        <v>175568</v>
      </c>
    </row>
    <row r="2050" spans="5:5" ht="18" customHeight="1">
      <c r="E2050" s="3">
        <v>133197</v>
      </c>
    </row>
    <row r="2051" spans="5:5" ht="18" customHeight="1">
      <c r="E2051" s="3">
        <v>133198</v>
      </c>
    </row>
    <row r="2052" spans="5:5" ht="18" customHeight="1">
      <c r="E2052" s="3">
        <v>133199</v>
      </c>
    </row>
    <row r="2053" spans="5:5" ht="18" customHeight="1">
      <c r="E2053" s="3">
        <v>133200</v>
      </c>
    </row>
    <row r="2054" spans="5:5" ht="18" customHeight="1">
      <c r="E2054" s="3">
        <v>133201</v>
      </c>
    </row>
    <row r="2055" spans="5:5" ht="18" customHeight="1">
      <c r="E2055" s="3">
        <v>133205</v>
      </c>
    </row>
    <row r="2056" spans="5:5" ht="18" customHeight="1">
      <c r="E2056" s="3">
        <v>133206</v>
      </c>
    </row>
    <row r="2057" spans="5:5" ht="18" customHeight="1">
      <c r="E2057" s="3">
        <v>133204</v>
      </c>
    </row>
    <row r="2058" spans="5:5" ht="18" customHeight="1">
      <c r="E2058" s="3">
        <v>133203</v>
      </c>
    </row>
    <row r="2059" spans="5:5" ht="18" customHeight="1">
      <c r="E2059" s="3">
        <v>133202</v>
      </c>
    </row>
    <row r="2060" spans="5:5" ht="18" customHeight="1">
      <c r="E2060" s="3">
        <v>175569</v>
      </c>
    </row>
    <row r="2061" spans="5:5" ht="18" customHeight="1">
      <c r="E2061" s="3">
        <v>133207</v>
      </c>
    </row>
    <row r="2062" spans="5:5" ht="18" customHeight="1">
      <c r="E2062" s="3">
        <v>133208</v>
      </c>
    </row>
    <row r="2063" spans="5:5" ht="18" customHeight="1">
      <c r="E2063" s="3">
        <v>175570</v>
      </c>
    </row>
    <row r="2064" spans="5:5" ht="18" customHeight="1">
      <c r="E2064" s="3">
        <v>133209</v>
      </c>
    </row>
    <row r="2065" spans="5:5" ht="18" customHeight="1">
      <c r="E2065" s="3">
        <v>133210</v>
      </c>
    </row>
    <row r="2066" spans="5:5" ht="18" customHeight="1">
      <c r="E2066" s="3">
        <v>107064</v>
      </c>
    </row>
    <row r="2067" spans="5:5" ht="18" customHeight="1">
      <c r="E2067" s="3">
        <v>175571</v>
      </c>
    </row>
    <row r="2068" spans="5:5" ht="18" customHeight="1">
      <c r="E2068" s="3">
        <v>175575</v>
      </c>
    </row>
    <row r="2069" spans="5:5" ht="18" customHeight="1">
      <c r="E2069" s="3">
        <v>175574</v>
      </c>
    </row>
    <row r="2070" spans="5:5" ht="18" customHeight="1">
      <c r="E2070" s="3">
        <v>175576</v>
      </c>
    </row>
    <row r="2071" spans="5:5" ht="18" customHeight="1">
      <c r="E2071" s="3">
        <v>175573</v>
      </c>
    </row>
    <row r="2072" spans="5:5" ht="18" customHeight="1">
      <c r="E2072" s="3">
        <v>175572</v>
      </c>
    </row>
    <row r="2073" spans="5:5" ht="18" customHeight="1">
      <c r="E2073" s="3">
        <v>175577</v>
      </c>
    </row>
    <row r="2074" spans="5:5" ht="18" customHeight="1">
      <c r="E2074" s="3">
        <v>107066</v>
      </c>
    </row>
    <row r="2075" spans="5:5" ht="18" customHeight="1">
      <c r="E2075" s="3">
        <v>175578</v>
      </c>
    </row>
    <row r="2076" spans="5:5" ht="18" customHeight="1">
      <c r="E2076" s="3">
        <v>175579</v>
      </c>
    </row>
    <row r="2077" spans="5:5" ht="18" customHeight="1">
      <c r="E2077" s="3">
        <v>175580</v>
      </c>
    </row>
    <row r="2078" spans="5:5" ht="18" customHeight="1">
      <c r="E2078" s="3">
        <v>175581</v>
      </c>
    </row>
    <row r="2079" spans="5:5" ht="18" customHeight="1">
      <c r="E2079" s="3">
        <v>175582</v>
      </c>
    </row>
    <row r="2080" spans="5:5" ht="18" customHeight="1">
      <c r="E2080" s="3">
        <v>175583</v>
      </c>
    </row>
    <row r="2081" spans="5:5" ht="18" customHeight="1">
      <c r="E2081" s="3">
        <v>175584</v>
      </c>
    </row>
    <row r="2082" spans="5:5" ht="18" customHeight="1">
      <c r="E2082" s="3">
        <v>175585</v>
      </c>
    </row>
    <row r="2083" spans="5:5" ht="18" customHeight="1">
      <c r="E2083" s="3">
        <v>175586</v>
      </c>
    </row>
    <row r="2084" spans="5:5" ht="18" customHeight="1">
      <c r="E2084" s="3">
        <v>175587</v>
      </c>
    </row>
    <row r="2085" spans="5:5" ht="18" customHeight="1">
      <c r="E2085" s="3">
        <v>175588</v>
      </c>
    </row>
    <row r="2086" spans="5:5" ht="18" customHeight="1">
      <c r="E2086" s="3">
        <v>175589</v>
      </c>
    </row>
    <row r="2087" spans="5:5" ht="18" customHeight="1">
      <c r="E2087" s="3">
        <v>175590</v>
      </c>
    </row>
    <row r="2088" spans="5:5" ht="18" customHeight="1">
      <c r="E2088" s="3">
        <v>175591</v>
      </c>
    </row>
    <row r="2089" spans="5:5" ht="18" customHeight="1">
      <c r="E2089" s="3">
        <v>175592</v>
      </c>
    </row>
    <row r="2090" spans="5:5" ht="18" customHeight="1">
      <c r="E2090" s="3">
        <v>175593</v>
      </c>
    </row>
    <row r="2091" spans="5:5" ht="18" customHeight="1">
      <c r="E2091" s="3">
        <v>175594</v>
      </c>
    </row>
    <row r="2092" spans="5:5" ht="18" customHeight="1">
      <c r="E2092" s="3">
        <v>175595</v>
      </c>
    </row>
    <row r="2093" spans="5:5" ht="18" customHeight="1">
      <c r="E2093" s="3">
        <v>175596</v>
      </c>
    </row>
    <row r="2094" spans="5:5" ht="18" customHeight="1">
      <c r="E2094" s="3">
        <v>175597</v>
      </c>
    </row>
    <row r="2095" spans="5:5" ht="18" customHeight="1">
      <c r="E2095" s="3">
        <v>175598</v>
      </c>
    </row>
    <row r="2096" spans="5:5" ht="18" customHeight="1">
      <c r="E2096" s="3">
        <v>175599</v>
      </c>
    </row>
    <row r="2097" spans="5:5" ht="18" customHeight="1">
      <c r="E2097" s="3">
        <v>175600</v>
      </c>
    </row>
    <row r="2098" spans="5:5" ht="18" customHeight="1">
      <c r="E2098" s="3">
        <v>175601</v>
      </c>
    </row>
    <row r="2099" spans="5:5" ht="18" customHeight="1">
      <c r="E2099" s="3">
        <v>175602</v>
      </c>
    </row>
    <row r="2100" spans="5:5" ht="18" customHeight="1">
      <c r="E2100" s="3">
        <v>175603</v>
      </c>
    </row>
    <row r="2101" spans="5:5" ht="18" customHeight="1">
      <c r="E2101" s="3">
        <v>175604</v>
      </c>
    </row>
    <row r="2102" spans="5:5" ht="18" customHeight="1">
      <c r="E2102" s="3">
        <v>175605</v>
      </c>
    </row>
    <row r="2103" spans="5:5" ht="18" customHeight="1">
      <c r="E2103" s="3">
        <v>175606</v>
      </c>
    </row>
    <row r="2104" spans="5:5" ht="18" customHeight="1">
      <c r="E2104" s="3">
        <v>107067</v>
      </c>
    </row>
    <row r="2105" spans="5:5" ht="18" customHeight="1">
      <c r="E2105" s="3">
        <v>175607</v>
      </c>
    </row>
    <row r="2106" spans="5:5" ht="18" customHeight="1">
      <c r="E2106" s="3">
        <v>175609</v>
      </c>
    </row>
    <row r="2107" spans="5:5" ht="18" customHeight="1">
      <c r="E2107" s="3">
        <v>175608</v>
      </c>
    </row>
    <row r="2108" spans="5:5" ht="18" customHeight="1">
      <c r="E2108" s="3">
        <v>175610</v>
      </c>
    </row>
    <row r="2109" spans="5:5" ht="18" customHeight="1">
      <c r="E2109" s="3">
        <v>175611</v>
      </c>
    </row>
    <row r="2110" spans="5:5" ht="18" customHeight="1">
      <c r="E2110" s="3">
        <v>175612</v>
      </c>
    </row>
    <row r="2111" spans="5:5" ht="18" customHeight="1">
      <c r="E2111" s="3">
        <v>175613</v>
      </c>
    </row>
    <row r="2112" spans="5:5" ht="18" customHeight="1">
      <c r="E2112" s="3">
        <v>175614</v>
      </c>
    </row>
    <row r="2113" spans="5:5" ht="18" customHeight="1">
      <c r="E2113" s="3">
        <v>175619</v>
      </c>
    </row>
    <row r="2114" spans="5:5" ht="18" customHeight="1">
      <c r="E2114" s="3">
        <v>175620</v>
      </c>
    </row>
    <row r="2115" spans="5:5" ht="18" customHeight="1">
      <c r="E2115" s="3">
        <v>175621</v>
      </c>
    </row>
    <row r="2116" spans="5:5" ht="18" customHeight="1">
      <c r="E2116" s="3">
        <v>175622</v>
      </c>
    </row>
    <row r="2117" spans="5:5" ht="18" customHeight="1">
      <c r="E2117" s="3">
        <v>175623</v>
      </c>
    </row>
    <row r="2118" spans="5:5" ht="18" customHeight="1">
      <c r="E2118" s="3">
        <v>175624</v>
      </c>
    </row>
    <row r="2119" spans="5:5" ht="18" customHeight="1">
      <c r="E2119" s="3">
        <v>175625</v>
      </c>
    </row>
    <row r="2120" spans="5:5" ht="18" customHeight="1">
      <c r="E2120" s="3">
        <v>173668</v>
      </c>
    </row>
    <row r="2121" spans="5:5" ht="18" customHeight="1">
      <c r="E2121" s="3">
        <v>175615</v>
      </c>
    </row>
    <row r="2122" spans="5:5" ht="18" customHeight="1">
      <c r="E2122" s="3">
        <v>175616</v>
      </c>
    </row>
    <row r="2123" spans="5:5" ht="18" customHeight="1">
      <c r="E2123" s="3">
        <v>173669</v>
      </c>
    </row>
    <row r="2124" spans="5:5" ht="18" customHeight="1">
      <c r="E2124" s="3">
        <v>175617</v>
      </c>
    </row>
    <row r="2125" spans="5:5" ht="18" customHeight="1">
      <c r="E2125" s="3">
        <v>173670</v>
      </c>
    </row>
    <row r="2126" spans="5:5" ht="18" customHeight="1">
      <c r="E2126" s="3">
        <v>175618</v>
      </c>
    </row>
    <row r="2127" spans="5:5" ht="18" customHeight="1">
      <c r="E2127" s="3">
        <v>173671</v>
      </c>
    </row>
    <row r="2128" spans="5:5" ht="18" customHeight="1">
      <c r="E2128" s="3">
        <v>173672</v>
      </c>
    </row>
    <row r="2129" spans="5:5" ht="18" customHeight="1">
      <c r="E2129" s="3">
        <v>173673</v>
      </c>
    </row>
    <row r="2130" spans="5:5" ht="18" customHeight="1">
      <c r="E2130" s="3">
        <v>173674</v>
      </c>
    </row>
    <row r="2131" spans="5:5" ht="18" customHeight="1">
      <c r="E2131" s="3">
        <v>173675</v>
      </c>
    </row>
    <row r="2132" spans="5:5" ht="18" customHeight="1">
      <c r="E2132" s="3">
        <v>173676</v>
      </c>
    </row>
    <row r="2133" spans="5:5" ht="18" customHeight="1">
      <c r="E2133" s="3">
        <v>173677</v>
      </c>
    </row>
    <row r="2134" spans="5:5" ht="18" customHeight="1">
      <c r="E2134" s="3">
        <v>173678</v>
      </c>
    </row>
    <row r="2135" spans="5:5" ht="18" customHeight="1">
      <c r="E2135" s="3">
        <v>173679</v>
      </c>
    </row>
    <row r="2136" spans="5:5" ht="18" customHeight="1">
      <c r="E2136" s="3">
        <v>173680</v>
      </c>
    </row>
    <row r="2137" spans="5:5" ht="18" customHeight="1">
      <c r="E2137" s="3">
        <v>173681</v>
      </c>
    </row>
    <row r="2138" spans="5:5" ht="18" customHeight="1">
      <c r="E2138" s="3">
        <v>173682</v>
      </c>
    </row>
    <row r="2139" spans="5:5" ht="18" customHeight="1">
      <c r="E2139" s="3">
        <v>107070</v>
      </c>
    </row>
    <row r="2140" spans="5:5" ht="18" customHeight="1">
      <c r="E2140" s="3">
        <v>124107</v>
      </c>
    </row>
    <row r="2141" spans="5:5" ht="18" customHeight="1">
      <c r="E2141" s="3">
        <v>124108</v>
      </c>
    </row>
    <row r="2142" spans="5:5" ht="18" customHeight="1">
      <c r="E2142" s="3">
        <v>124109</v>
      </c>
    </row>
    <row r="2143" spans="5:5" ht="18" customHeight="1">
      <c r="E2143" s="3">
        <v>31280</v>
      </c>
    </row>
    <row r="2144" spans="5:5" ht="18" customHeight="1">
      <c r="E2144" s="3">
        <v>124110</v>
      </c>
    </row>
    <row r="2145" spans="5:5" ht="18" customHeight="1">
      <c r="E2145" s="3">
        <v>124111</v>
      </c>
    </row>
    <row r="2146" spans="5:5" ht="18" customHeight="1">
      <c r="E2146" s="3">
        <v>171118</v>
      </c>
    </row>
    <row r="2147" spans="5:5" ht="18" customHeight="1">
      <c r="E2147" s="3">
        <v>171119</v>
      </c>
    </row>
    <row r="2148" spans="5:5" ht="18" customHeight="1">
      <c r="E2148" s="3">
        <v>56422</v>
      </c>
    </row>
    <row r="2149" spans="5:5" ht="18" customHeight="1">
      <c r="E2149" s="3">
        <v>124112</v>
      </c>
    </row>
    <row r="2150" spans="5:5" ht="18" customHeight="1">
      <c r="E2150" s="3">
        <v>124113</v>
      </c>
    </row>
    <row r="2151" spans="5:5" ht="18" customHeight="1">
      <c r="E2151" s="3">
        <v>124114</v>
      </c>
    </row>
    <row r="2152" spans="5:5" ht="18" customHeight="1">
      <c r="E2152" s="3">
        <v>124115</v>
      </c>
    </row>
    <row r="2153" spans="5:5" ht="18" customHeight="1">
      <c r="E2153" s="3">
        <v>50067</v>
      </c>
    </row>
    <row r="2154" spans="5:5" ht="18" customHeight="1">
      <c r="E2154" s="3">
        <v>171109</v>
      </c>
    </row>
    <row r="2155" spans="5:5" ht="18" customHeight="1">
      <c r="E2155" s="3">
        <v>171110</v>
      </c>
    </row>
    <row r="2156" spans="5:5" ht="18" customHeight="1">
      <c r="E2156" s="3">
        <v>50068</v>
      </c>
    </row>
    <row r="2157" spans="5:5" ht="18" customHeight="1">
      <c r="E2157" s="3">
        <v>50069</v>
      </c>
    </row>
    <row r="2158" spans="5:5" ht="18" customHeight="1">
      <c r="E2158" s="3">
        <v>50070</v>
      </c>
    </row>
    <row r="2159" spans="5:5" ht="18" customHeight="1">
      <c r="E2159" s="3">
        <v>50071</v>
      </c>
    </row>
    <row r="2160" spans="5:5" ht="18" customHeight="1">
      <c r="E2160" s="3">
        <v>50072</v>
      </c>
    </row>
    <row r="2161" spans="5:5" ht="18" customHeight="1">
      <c r="E2161" s="3">
        <v>50073</v>
      </c>
    </row>
    <row r="2162" spans="5:5" ht="18" customHeight="1">
      <c r="E2162" s="3">
        <v>168693</v>
      </c>
    </row>
    <row r="2163" spans="5:5" ht="18" customHeight="1">
      <c r="E2163" s="3">
        <v>182239</v>
      </c>
    </row>
    <row r="2164" spans="5:5" ht="18" customHeight="1">
      <c r="E2164" s="3">
        <v>82321</v>
      </c>
    </row>
    <row r="2165" spans="5:5" ht="18" customHeight="1">
      <c r="E2165" s="3">
        <v>182240</v>
      </c>
    </row>
    <row r="2166" spans="5:5" ht="18" customHeight="1">
      <c r="E2166" s="3">
        <v>182241</v>
      </c>
    </row>
    <row r="2167" spans="5:5" ht="18" customHeight="1">
      <c r="E2167" s="3">
        <v>182242</v>
      </c>
    </row>
    <row r="2168" spans="5:5" ht="18" customHeight="1">
      <c r="E2168" s="3">
        <v>82205</v>
      </c>
    </row>
    <row r="2169" spans="5:5" ht="18" customHeight="1">
      <c r="E2169" s="3">
        <v>182243</v>
      </c>
    </row>
    <row r="2170" spans="5:5" ht="18" customHeight="1">
      <c r="E2170" s="3">
        <v>182244</v>
      </c>
    </row>
    <row r="2171" spans="5:5" ht="18" customHeight="1">
      <c r="E2171" s="3">
        <v>182245</v>
      </c>
    </row>
    <row r="2172" spans="5:5" ht="18" customHeight="1">
      <c r="E2172" s="3">
        <v>182246</v>
      </c>
    </row>
    <row r="2173" spans="5:5" ht="18" customHeight="1">
      <c r="E2173" s="3">
        <v>182247</v>
      </c>
    </row>
    <row r="2174" spans="5:5" ht="18" customHeight="1">
      <c r="E2174" s="3">
        <v>182248</v>
      </c>
    </row>
    <row r="2175" spans="5:5" ht="18" customHeight="1">
      <c r="E2175" s="3">
        <v>65380</v>
      </c>
    </row>
    <row r="2176" spans="5:5" ht="18" customHeight="1">
      <c r="E2176" s="3">
        <v>182249</v>
      </c>
    </row>
    <row r="2177" spans="5:5" ht="18" customHeight="1">
      <c r="E2177" s="3">
        <v>182250</v>
      </c>
    </row>
    <row r="2178" spans="5:5" ht="18" customHeight="1">
      <c r="E2178" s="3">
        <v>182251</v>
      </c>
    </row>
    <row r="2179" spans="5:5" ht="18" customHeight="1">
      <c r="E2179" s="3">
        <v>182252</v>
      </c>
    </row>
    <row r="2180" spans="5:5" ht="18" customHeight="1">
      <c r="E2180" s="3">
        <v>182253</v>
      </c>
    </row>
    <row r="2181" spans="5:5" ht="18" customHeight="1">
      <c r="E2181" s="3">
        <v>182254</v>
      </c>
    </row>
    <row r="2182" spans="5:5" ht="18" customHeight="1">
      <c r="E2182" s="3">
        <v>135847</v>
      </c>
    </row>
    <row r="2183" spans="5:5" ht="18" customHeight="1">
      <c r="E2183" s="3">
        <v>65385</v>
      </c>
    </row>
    <row r="2184" spans="5:5" ht="18" customHeight="1">
      <c r="E2184" s="3">
        <v>182218</v>
      </c>
    </row>
    <row r="2185" spans="5:5" ht="18" customHeight="1">
      <c r="E2185" s="3">
        <v>182219</v>
      </c>
    </row>
    <row r="2186" spans="5:5" ht="18" customHeight="1">
      <c r="E2186" s="3">
        <v>65368</v>
      </c>
    </row>
    <row r="2187" spans="5:5" ht="18" customHeight="1">
      <c r="E2187" s="3">
        <v>182220</v>
      </c>
    </row>
    <row r="2188" spans="5:5" ht="18" customHeight="1">
      <c r="E2188" s="3">
        <v>182221</v>
      </c>
    </row>
    <row r="2189" spans="5:5" ht="18" customHeight="1">
      <c r="E2189" s="3">
        <v>135859</v>
      </c>
    </row>
    <row r="2190" spans="5:5" ht="18" customHeight="1">
      <c r="E2190" s="3">
        <v>135848</v>
      </c>
    </row>
    <row r="2191" spans="5:5" ht="18" customHeight="1">
      <c r="E2191" s="3">
        <v>182255</v>
      </c>
    </row>
    <row r="2192" spans="5:5" ht="18" customHeight="1">
      <c r="E2192" s="3">
        <v>182256</v>
      </c>
    </row>
    <row r="2193" spans="5:5" ht="18" customHeight="1">
      <c r="E2193" s="3">
        <v>182257</v>
      </c>
    </row>
    <row r="2194" spans="5:5" ht="18" customHeight="1">
      <c r="E2194" s="3">
        <v>182258</v>
      </c>
    </row>
    <row r="2195" spans="5:5" ht="18" customHeight="1">
      <c r="E2195" s="3">
        <v>182259</v>
      </c>
    </row>
    <row r="2196" spans="5:5" ht="18" customHeight="1">
      <c r="E2196" s="3">
        <v>182260</v>
      </c>
    </row>
    <row r="2197" spans="5:5" ht="18" customHeight="1">
      <c r="E2197" s="3">
        <v>182261</v>
      </c>
    </row>
    <row r="2198" spans="5:5" ht="18" customHeight="1">
      <c r="E2198" s="3">
        <v>182262</v>
      </c>
    </row>
    <row r="2199" spans="5:5" ht="18" customHeight="1">
      <c r="E2199" s="3">
        <v>182263</v>
      </c>
    </row>
    <row r="2200" spans="5:5" ht="18" customHeight="1">
      <c r="E2200" s="3">
        <v>182264</v>
      </c>
    </row>
    <row r="2201" spans="5:5" ht="18" customHeight="1">
      <c r="E2201" s="3">
        <v>182265</v>
      </c>
    </row>
    <row r="2202" spans="5:5" ht="18" customHeight="1">
      <c r="E2202" s="3">
        <v>65317</v>
      </c>
    </row>
    <row r="2203" spans="5:5" ht="18" customHeight="1">
      <c r="E2203" s="3">
        <v>182266</v>
      </c>
    </row>
    <row r="2204" spans="5:5" ht="18" customHeight="1">
      <c r="E2204" s="3">
        <v>182267</v>
      </c>
    </row>
    <row r="2205" spans="5:5" ht="18" customHeight="1">
      <c r="E2205" s="3">
        <v>182268</v>
      </c>
    </row>
    <row r="2206" spans="5:5" ht="18" customHeight="1">
      <c r="E2206" s="3">
        <v>182269</v>
      </c>
    </row>
    <row r="2207" spans="5:5" ht="18" customHeight="1">
      <c r="E2207" s="3">
        <v>182270</v>
      </c>
    </row>
    <row r="2208" spans="5:5" ht="18" customHeight="1">
      <c r="E2208" s="3">
        <v>182271</v>
      </c>
    </row>
    <row r="2209" spans="5:5" ht="18" customHeight="1">
      <c r="E2209" s="3">
        <v>182272</v>
      </c>
    </row>
    <row r="2210" spans="5:5" ht="18" customHeight="1">
      <c r="E2210" s="3">
        <v>182273</v>
      </c>
    </row>
    <row r="2211" spans="5:5" ht="18" customHeight="1">
      <c r="E2211" s="3">
        <v>182274</v>
      </c>
    </row>
    <row r="2212" spans="5:5" ht="18" customHeight="1">
      <c r="E2212" s="3">
        <v>182275</v>
      </c>
    </row>
    <row r="2213" spans="5:5" ht="18" customHeight="1">
      <c r="E2213" s="3">
        <v>182276</v>
      </c>
    </row>
    <row r="2214" spans="5:5" ht="18" customHeight="1">
      <c r="E2214" s="3">
        <v>82183</v>
      </c>
    </row>
    <row r="2215" spans="5:5" ht="18" customHeight="1">
      <c r="E2215" s="3">
        <v>182277</v>
      </c>
    </row>
    <row r="2216" spans="5:5" ht="18" customHeight="1">
      <c r="E2216" s="3">
        <v>82191</v>
      </c>
    </row>
    <row r="2217" spans="5:5" ht="18" customHeight="1">
      <c r="E2217" s="3">
        <v>182278</v>
      </c>
    </row>
    <row r="2218" spans="5:5" ht="18" customHeight="1">
      <c r="E2218" s="3">
        <v>182279</v>
      </c>
    </row>
    <row r="2219" spans="5:5" ht="18" customHeight="1">
      <c r="E2219" s="3">
        <v>182280</v>
      </c>
    </row>
    <row r="2220" spans="5:5" ht="18" customHeight="1">
      <c r="E2220" s="3">
        <v>182281</v>
      </c>
    </row>
    <row r="2221" spans="5:5" ht="18" customHeight="1">
      <c r="E2221" s="3">
        <v>135840</v>
      </c>
    </row>
    <row r="2222" spans="5:5" ht="18" customHeight="1">
      <c r="E2222" s="3">
        <v>182282</v>
      </c>
    </row>
    <row r="2223" spans="5:5" ht="18" customHeight="1">
      <c r="E2223" s="3">
        <v>182283</v>
      </c>
    </row>
    <row r="2224" spans="5:5" ht="18" customHeight="1">
      <c r="E2224" s="3">
        <v>182284</v>
      </c>
    </row>
    <row r="2225" spans="5:5" ht="18" customHeight="1">
      <c r="E2225" s="3">
        <v>182285</v>
      </c>
    </row>
    <row r="2226" spans="5:5" ht="18" customHeight="1">
      <c r="E2226" s="3">
        <v>182286</v>
      </c>
    </row>
    <row r="2227" spans="5:5" ht="18" customHeight="1">
      <c r="E2227" s="3">
        <v>182287</v>
      </c>
    </row>
    <row r="2228" spans="5:5" ht="18" customHeight="1">
      <c r="E2228" s="3">
        <v>182288</v>
      </c>
    </row>
    <row r="2229" spans="5:5" ht="18" customHeight="1">
      <c r="E2229" s="3">
        <v>182289</v>
      </c>
    </row>
    <row r="2230" spans="5:5" ht="18" customHeight="1">
      <c r="E2230" s="3">
        <v>182290</v>
      </c>
    </row>
    <row r="2231" spans="5:5" ht="18" customHeight="1">
      <c r="E2231" s="3">
        <v>182291</v>
      </c>
    </row>
    <row r="2232" spans="5:5" ht="18" customHeight="1">
      <c r="E2232" s="3">
        <v>182292</v>
      </c>
    </row>
    <row r="2233" spans="5:5" ht="18" customHeight="1">
      <c r="E2233" s="3">
        <v>182293</v>
      </c>
    </row>
    <row r="2234" spans="5:5" ht="18" customHeight="1">
      <c r="E2234" s="3">
        <v>182294</v>
      </c>
    </row>
    <row r="2235" spans="5:5" ht="18" customHeight="1">
      <c r="E2235" s="3">
        <v>182295</v>
      </c>
    </row>
    <row r="2236" spans="5:5" ht="18" customHeight="1">
      <c r="E2236" s="3">
        <v>182296</v>
      </c>
    </row>
    <row r="2237" spans="5:5" ht="18" customHeight="1">
      <c r="E2237" s="3">
        <v>65336</v>
      </c>
    </row>
    <row r="2238" spans="5:5" ht="18" customHeight="1">
      <c r="E2238" s="3">
        <v>182297</v>
      </c>
    </row>
    <row r="2239" spans="5:5" ht="18" customHeight="1">
      <c r="E2239" s="3">
        <v>182298</v>
      </c>
    </row>
    <row r="2240" spans="5:5" ht="18" customHeight="1">
      <c r="E2240" s="3">
        <v>182299</v>
      </c>
    </row>
    <row r="2241" spans="5:5" ht="18" customHeight="1">
      <c r="E2241" s="3">
        <v>182300</v>
      </c>
    </row>
    <row r="2242" spans="5:5" ht="18" customHeight="1">
      <c r="E2242" s="3">
        <v>182301</v>
      </c>
    </row>
    <row r="2243" spans="5:5" ht="18" customHeight="1">
      <c r="E2243" s="3">
        <v>182302</v>
      </c>
    </row>
    <row r="2244" spans="5:5" ht="18" customHeight="1">
      <c r="E2244" s="3">
        <v>182303</v>
      </c>
    </row>
    <row r="2245" spans="5:5" ht="18" customHeight="1">
      <c r="E2245" s="3">
        <v>182304</v>
      </c>
    </row>
    <row r="2246" spans="5:5" ht="18" customHeight="1">
      <c r="E2246" s="3">
        <v>182305</v>
      </c>
    </row>
    <row r="2247" spans="5:5" ht="18" customHeight="1">
      <c r="E2247" s="3">
        <v>182306</v>
      </c>
    </row>
    <row r="2248" spans="5:5" ht="18" customHeight="1">
      <c r="E2248" s="3">
        <v>65361</v>
      </c>
    </row>
    <row r="2249" spans="5:5" ht="18" customHeight="1">
      <c r="E2249" s="3">
        <v>182222</v>
      </c>
    </row>
    <row r="2250" spans="5:5" ht="18" customHeight="1">
      <c r="E2250" s="3">
        <v>182223</v>
      </c>
    </row>
    <row r="2251" spans="5:5" ht="18" customHeight="1">
      <c r="E2251" s="3">
        <v>82219</v>
      </c>
    </row>
    <row r="2252" spans="5:5" ht="18" customHeight="1">
      <c r="E2252" s="3">
        <v>82182</v>
      </c>
    </row>
    <row r="2253" spans="5:5" ht="18" customHeight="1">
      <c r="E2253" s="3">
        <v>182400</v>
      </c>
    </row>
    <row r="2254" spans="5:5" ht="18" customHeight="1">
      <c r="E2254" s="3">
        <v>182232</v>
      </c>
    </row>
    <row r="2255" spans="5:5" ht="18" customHeight="1">
      <c r="E2255" s="3">
        <v>182233</v>
      </c>
    </row>
    <row r="2256" spans="5:5" ht="18" customHeight="1">
      <c r="E2256" s="3">
        <v>182234</v>
      </c>
    </row>
    <row r="2257" spans="5:5" ht="18" customHeight="1">
      <c r="E2257" s="3">
        <v>82212</v>
      </c>
    </row>
    <row r="2258" spans="5:5" ht="18" customHeight="1">
      <c r="E2258" s="3">
        <v>182231</v>
      </c>
    </row>
    <row r="2259" spans="5:5" ht="18" customHeight="1">
      <c r="E2259" s="3">
        <v>88545</v>
      </c>
    </row>
    <row r="2260" spans="5:5" ht="18" customHeight="1">
      <c r="E2260" s="3">
        <v>82198</v>
      </c>
    </row>
    <row r="2261" spans="5:5" ht="18" customHeight="1">
      <c r="E2261" s="3">
        <v>182224</v>
      </c>
    </row>
    <row r="2262" spans="5:5" ht="18" customHeight="1">
      <c r="E2262" s="3">
        <v>182225</v>
      </c>
    </row>
    <row r="2263" spans="5:5" ht="18" customHeight="1">
      <c r="E2263" s="3">
        <v>182226</v>
      </c>
    </row>
    <row r="2264" spans="5:5" ht="18" customHeight="1">
      <c r="E2264" s="3">
        <v>182227</v>
      </c>
    </row>
    <row r="2265" spans="5:5" ht="18" customHeight="1">
      <c r="E2265" s="3">
        <v>182228</v>
      </c>
    </row>
    <row r="2266" spans="5:5" ht="18" customHeight="1">
      <c r="E2266" s="3">
        <v>182229</v>
      </c>
    </row>
    <row r="2267" spans="5:5" ht="18" customHeight="1">
      <c r="E2267" s="3">
        <v>182230</v>
      </c>
    </row>
    <row r="2268" spans="5:5" ht="18" customHeight="1">
      <c r="E2268" s="3">
        <v>82226</v>
      </c>
    </row>
    <row r="2269" spans="5:5" ht="18" customHeight="1">
      <c r="E2269" s="3">
        <v>182307</v>
      </c>
    </row>
    <row r="2270" spans="5:5" ht="18" customHeight="1">
      <c r="E2270" s="3">
        <v>182308</v>
      </c>
    </row>
    <row r="2271" spans="5:5" ht="18" customHeight="1">
      <c r="E2271" s="3">
        <v>182309</v>
      </c>
    </row>
    <row r="2272" spans="5:5" ht="18" customHeight="1">
      <c r="E2272" s="3">
        <v>182310</v>
      </c>
    </row>
    <row r="2273" spans="5:5" ht="18" customHeight="1">
      <c r="E2273" s="3">
        <v>182311</v>
      </c>
    </row>
    <row r="2274" spans="5:5" ht="18" customHeight="1">
      <c r="E2274" s="3">
        <v>182312</v>
      </c>
    </row>
    <row r="2275" spans="5:5" ht="18" customHeight="1">
      <c r="E2275" s="3">
        <v>182313</v>
      </c>
    </row>
    <row r="2276" spans="5:5" ht="18" customHeight="1">
      <c r="E2276" s="3">
        <v>182314</v>
      </c>
    </row>
    <row r="2277" spans="5:5" ht="18" customHeight="1">
      <c r="E2277" s="3">
        <v>182315</v>
      </c>
    </row>
    <row r="2278" spans="5:5" ht="18" customHeight="1">
      <c r="E2278" s="3">
        <v>65309</v>
      </c>
    </row>
    <row r="2279" spans="5:5" ht="18" customHeight="1">
      <c r="E2279" s="3">
        <v>182316</v>
      </c>
    </row>
    <row r="2280" spans="5:5" ht="18" customHeight="1">
      <c r="E2280" s="3">
        <v>182317</v>
      </c>
    </row>
    <row r="2281" spans="5:5" ht="18" customHeight="1">
      <c r="E2281" s="3">
        <v>182318</v>
      </c>
    </row>
    <row r="2282" spans="5:5" ht="18" customHeight="1">
      <c r="E2282" s="3">
        <v>182319</v>
      </c>
    </row>
    <row r="2283" spans="5:5" ht="18" customHeight="1">
      <c r="E2283" s="3">
        <v>182320</v>
      </c>
    </row>
    <row r="2284" spans="5:5" ht="18" customHeight="1">
      <c r="E2284" s="3">
        <v>182321</v>
      </c>
    </row>
    <row r="2285" spans="5:5" ht="18" customHeight="1">
      <c r="E2285" s="3">
        <v>182322</v>
      </c>
    </row>
    <row r="2286" spans="5:5" ht="18" customHeight="1">
      <c r="E2286" s="3">
        <v>182323</v>
      </c>
    </row>
    <row r="2287" spans="5:5" ht="18" customHeight="1">
      <c r="E2287" s="3">
        <v>65353</v>
      </c>
    </row>
    <row r="2288" spans="5:5" ht="18" customHeight="1">
      <c r="E2288" s="3">
        <v>182324</v>
      </c>
    </row>
    <row r="2289" spans="5:5" ht="18" customHeight="1">
      <c r="E2289" s="3">
        <v>182325</v>
      </c>
    </row>
    <row r="2290" spans="5:5" ht="18" customHeight="1">
      <c r="E2290" s="3">
        <v>182326</v>
      </c>
    </row>
    <row r="2291" spans="5:5" ht="18" customHeight="1">
      <c r="E2291" s="3">
        <v>182327</v>
      </c>
    </row>
    <row r="2292" spans="5:5" ht="18" customHeight="1">
      <c r="E2292" s="3">
        <v>182328</v>
      </c>
    </row>
    <row r="2293" spans="5:5" ht="18" customHeight="1">
      <c r="E2293" s="3">
        <v>182329</v>
      </c>
    </row>
    <row r="2294" spans="5:5" ht="18" customHeight="1">
      <c r="E2294" s="3">
        <v>182330</v>
      </c>
    </row>
    <row r="2295" spans="5:5" ht="18" customHeight="1">
      <c r="E2295" s="3">
        <v>182331</v>
      </c>
    </row>
    <row r="2296" spans="5:5" ht="18" customHeight="1">
      <c r="E2296" s="3">
        <v>182332</v>
      </c>
    </row>
    <row r="2297" spans="5:5" ht="18" customHeight="1">
      <c r="E2297" s="3">
        <v>65344</v>
      </c>
    </row>
    <row r="2298" spans="5:5" ht="18" customHeight="1">
      <c r="E2298" s="3">
        <v>182333</v>
      </c>
    </row>
    <row r="2299" spans="5:5" ht="18" customHeight="1">
      <c r="E2299" s="3">
        <v>182334</v>
      </c>
    </row>
    <row r="2300" spans="5:5" ht="18" customHeight="1">
      <c r="E2300" s="3">
        <v>182335</v>
      </c>
    </row>
    <row r="2301" spans="5:5" ht="18" customHeight="1">
      <c r="E2301" s="3">
        <v>182336</v>
      </c>
    </row>
    <row r="2302" spans="5:5" ht="18" customHeight="1">
      <c r="E2302" s="3">
        <v>182337</v>
      </c>
    </row>
    <row r="2303" spans="5:5" ht="18" customHeight="1">
      <c r="E2303" s="3">
        <v>182338</v>
      </c>
    </row>
    <row r="2304" spans="5:5" ht="18" customHeight="1">
      <c r="E2304" s="3">
        <v>182339</v>
      </c>
    </row>
    <row r="2305" spans="5:5" ht="18" customHeight="1">
      <c r="E2305" s="3">
        <v>182340</v>
      </c>
    </row>
    <row r="2306" spans="5:5" ht="18" customHeight="1">
      <c r="E2306" s="3">
        <v>182341</v>
      </c>
    </row>
    <row r="2307" spans="5:5" ht="18" customHeight="1">
      <c r="E2307" s="3">
        <v>65310</v>
      </c>
    </row>
    <row r="2308" spans="5:5" ht="18" customHeight="1">
      <c r="E2308" s="3">
        <v>182342</v>
      </c>
    </row>
    <row r="2309" spans="5:5" ht="18" customHeight="1">
      <c r="E2309" s="3">
        <v>182343</v>
      </c>
    </row>
    <row r="2310" spans="5:5" ht="18" customHeight="1">
      <c r="E2310" s="3">
        <v>182344</v>
      </c>
    </row>
    <row r="2311" spans="5:5" ht="18" customHeight="1">
      <c r="E2311" s="3">
        <v>182345</v>
      </c>
    </row>
    <row r="2312" spans="5:5" ht="18" customHeight="1">
      <c r="E2312" s="3">
        <v>182346</v>
      </c>
    </row>
    <row r="2313" spans="5:5" ht="18" customHeight="1">
      <c r="E2313" s="3">
        <v>182347</v>
      </c>
    </row>
    <row r="2314" spans="5:5" ht="18" customHeight="1">
      <c r="E2314" s="3">
        <v>135849</v>
      </c>
    </row>
    <row r="2315" spans="5:5" ht="18" customHeight="1">
      <c r="E2315" s="3">
        <v>182348</v>
      </c>
    </row>
    <row r="2316" spans="5:5" ht="18" customHeight="1">
      <c r="E2316" s="3">
        <v>182349</v>
      </c>
    </row>
    <row r="2317" spans="5:5" ht="18" customHeight="1">
      <c r="E2317" s="3">
        <v>182350</v>
      </c>
    </row>
    <row r="2318" spans="5:5" ht="18" customHeight="1">
      <c r="E2318" s="3">
        <v>182351</v>
      </c>
    </row>
    <row r="2319" spans="5:5" ht="18" customHeight="1">
      <c r="E2319" s="3">
        <v>182352</v>
      </c>
    </row>
    <row r="2320" spans="5:5" ht="18" customHeight="1">
      <c r="E2320" s="3">
        <v>182353</v>
      </c>
    </row>
    <row r="2321" spans="5:5" ht="18" customHeight="1">
      <c r="E2321" s="3">
        <v>65375</v>
      </c>
    </row>
    <row r="2322" spans="5:5" ht="18" customHeight="1">
      <c r="E2322" s="3">
        <v>182354</v>
      </c>
    </row>
    <row r="2323" spans="5:5" ht="18" customHeight="1">
      <c r="E2323" s="3">
        <v>182355</v>
      </c>
    </row>
    <row r="2324" spans="5:5" ht="18" customHeight="1">
      <c r="E2324" s="3">
        <v>182356</v>
      </c>
    </row>
    <row r="2325" spans="5:5" ht="18" customHeight="1">
      <c r="E2325" s="3">
        <v>182357</v>
      </c>
    </row>
    <row r="2326" spans="5:5" ht="18" customHeight="1">
      <c r="E2326" s="3">
        <v>182358</v>
      </c>
    </row>
    <row r="2327" spans="5:5" ht="18" customHeight="1">
      <c r="E2327" s="3">
        <v>182359</v>
      </c>
    </row>
    <row r="2328" spans="5:5" ht="18" customHeight="1">
      <c r="E2328" s="3">
        <v>182360</v>
      </c>
    </row>
    <row r="2329" spans="5:5" ht="18" customHeight="1">
      <c r="E2329" s="3">
        <v>182361</v>
      </c>
    </row>
    <row r="2330" spans="5:5" ht="18" customHeight="1">
      <c r="E2330" s="3">
        <v>182362</v>
      </c>
    </row>
    <row r="2331" spans="5:5" ht="18" customHeight="1">
      <c r="E2331" s="3">
        <v>65329</v>
      </c>
    </row>
    <row r="2332" spans="5:5" ht="18" customHeight="1">
      <c r="E2332" s="3">
        <v>182363</v>
      </c>
    </row>
    <row r="2333" spans="5:5" ht="18" customHeight="1">
      <c r="E2333" s="3">
        <v>182364</v>
      </c>
    </row>
    <row r="2334" spans="5:5" ht="18" customHeight="1">
      <c r="E2334" s="3">
        <v>182365</v>
      </c>
    </row>
    <row r="2335" spans="5:5" ht="18" customHeight="1">
      <c r="E2335" s="3">
        <v>182366</v>
      </c>
    </row>
    <row r="2336" spans="5:5" ht="18" customHeight="1">
      <c r="E2336" s="3">
        <v>182367</v>
      </c>
    </row>
    <row r="2337" spans="5:5" ht="18" customHeight="1">
      <c r="E2337" s="3">
        <v>182368</v>
      </c>
    </row>
    <row r="2338" spans="5:5" ht="18" customHeight="1">
      <c r="E2338" s="3">
        <v>182369</v>
      </c>
    </row>
    <row r="2339" spans="5:5" ht="18" customHeight="1">
      <c r="E2339" s="3">
        <v>25640</v>
      </c>
    </row>
    <row r="2340" spans="5:5" ht="18" customHeight="1">
      <c r="E2340" s="3">
        <v>84149</v>
      </c>
    </row>
    <row r="2341" spans="5:5" ht="18" customHeight="1">
      <c r="E2341" s="3">
        <v>111098</v>
      </c>
    </row>
    <row r="2342" spans="5:5" ht="18" customHeight="1">
      <c r="E2342" s="3">
        <v>111099</v>
      </c>
    </row>
    <row r="2343" spans="5:5" ht="18" customHeight="1">
      <c r="E2343" s="3">
        <v>111100</v>
      </c>
    </row>
    <row r="2344" spans="5:5" ht="18" customHeight="1">
      <c r="E2344" s="3">
        <v>111101</v>
      </c>
    </row>
    <row r="2345" spans="5:5" ht="18" customHeight="1">
      <c r="E2345" s="3">
        <v>111102</v>
      </c>
    </row>
    <row r="2346" spans="5:5" ht="18" customHeight="1">
      <c r="E2346" s="3">
        <v>111103</v>
      </c>
    </row>
    <row r="2347" spans="5:5" ht="18" customHeight="1">
      <c r="E2347" s="3">
        <v>111104</v>
      </c>
    </row>
    <row r="2348" spans="5:5" ht="18" customHeight="1">
      <c r="E2348" s="3">
        <v>111105</v>
      </c>
    </row>
    <row r="2349" spans="5:5" ht="18" customHeight="1">
      <c r="E2349" s="3">
        <v>111106</v>
      </c>
    </row>
    <row r="2350" spans="5:5" ht="18" customHeight="1">
      <c r="E2350" s="3">
        <v>111107</v>
      </c>
    </row>
    <row r="2351" spans="5:5" ht="18" customHeight="1">
      <c r="E2351" s="3">
        <v>111108</v>
      </c>
    </row>
    <row r="2352" spans="5:5" ht="18" customHeight="1">
      <c r="E2352" s="3">
        <v>111109</v>
      </c>
    </row>
    <row r="2353" spans="5:5" ht="18" customHeight="1">
      <c r="E2353" s="3">
        <v>111110</v>
      </c>
    </row>
    <row r="2354" spans="5:5" ht="18" customHeight="1">
      <c r="E2354" s="3">
        <v>111111</v>
      </c>
    </row>
    <row r="2355" spans="5:5" ht="18" customHeight="1">
      <c r="E2355" s="3">
        <v>111112</v>
      </c>
    </row>
    <row r="2356" spans="5:5" ht="18" customHeight="1">
      <c r="E2356" s="3">
        <v>111113</v>
      </c>
    </row>
    <row r="2357" spans="5:5" ht="18" customHeight="1">
      <c r="E2357" s="3">
        <v>111114</v>
      </c>
    </row>
    <row r="2358" spans="5:5" ht="18" customHeight="1">
      <c r="E2358" s="3">
        <v>111115</v>
      </c>
    </row>
    <row r="2359" spans="5:5" ht="18" customHeight="1">
      <c r="E2359" s="3">
        <v>111116</v>
      </c>
    </row>
    <row r="2360" spans="5:5" ht="18" customHeight="1">
      <c r="E2360" s="3">
        <v>111117</v>
      </c>
    </row>
    <row r="2361" spans="5:5" ht="18" customHeight="1">
      <c r="E2361" s="3">
        <v>111118</v>
      </c>
    </row>
    <row r="2362" spans="5:5" ht="18" customHeight="1">
      <c r="E2362" s="3">
        <v>111119</v>
      </c>
    </row>
    <row r="2363" spans="5:5" ht="18" customHeight="1">
      <c r="E2363" s="3">
        <v>111120</v>
      </c>
    </row>
    <row r="2364" spans="5:5" ht="18" customHeight="1">
      <c r="E2364" s="3">
        <v>100448</v>
      </c>
    </row>
    <row r="2365" spans="5:5" ht="18" customHeight="1">
      <c r="E2365" s="3">
        <v>100449</v>
      </c>
    </row>
    <row r="2366" spans="5:5" ht="18" customHeight="1">
      <c r="E2366" s="3">
        <v>100450</v>
      </c>
    </row>
    <row r="2367" spans="5:5" ht="18" customHeight="1">
      <c r="E2367" s="3">
        <v>100451</v>
      </c>
    </row>
    <row r="2368" spans="5:5" ht="18" customHeight="1">
      <c r="E2368" s="3">
        <v>100452</v>
      </c>
    </row>
    <row r="2369" spans="5:5" ht="18" customHeight="1">
      <c r="E2369" s="3">
        <v>100453</v>
      </c>
    </row>
    <row r="2370" spans="5:5" ht="18" customHeight="1">
      <c r="E2370" s="3">
        <v>100454</v>
      </c>
    </row>
    <row r="2371" spans="5:5" ht="18" customHeight="1">
      <c r="E2371" s="3">
        <v>100455</v>
      </c>
    </row>
    <row r="2372" spans="5:5" ht="18" customHeight="1">
      <c r="E2372" s="3">
        <v>171120</v>
      </c>
    </row>
    <row r="2373" spans="5:5" ht="18" customHeight="1">
      <c r="E2373" s="3">
        <v>171121</v>
      </c>
    </row>
    <row r="2374" spans="5:5" ht="18" customHeight="1">
      <c r="E2374" s="3">
        <v>100456</v>
      </c>
    </row>
    <row r="2375" spans="5:5" ht="18" customHeight="1">
      <c r="E2375" s="3">
        <v>100457</v>
      </c>
    </row>
    <row r="2376" spans="5:5" ht="18" customHeight="1">
      <c r="E2376" s="3">
        <v>100458</v>
      </c>
    </row>
    <row r="2377" spans="5:5" ht="18" customHeight="1">
      <c r="E2377" s="3">
        <v>100459</v>
      </c>
    </row>
    <row r="2378" spans="5:5" ht="18" customHeight="1">
      <c r="E2378" s="3">
        <v>100460</v>
      </c>
    </row>
    <row r="2379" spans="5:5" ht="18" customHeight="1">
      <c r="E2379" s="3">
        <v>100461</v>
      </c>
    </row>
    <row r="2380" spans="5:5" ht="18" customHeight="1">
      <c r="E2380" s="3">
        <v>100462</v>
      </c>
    </row>
    <row r="2381" spans="5:5" ht="18" customHeight="1">
      <c r="E2381" s="3">
        <v>100463</v>
      </c>
    </row>
    <row r="2382" spans="5:5" ht="18" customHeight="1">
      <c r="E2382" s="3">
        <v>100464</v>
      </c>
    </row>
    <row r="2383" spans="5:5" ht="18" customHeight="1">
      <c r="E2383" s="3">
        <v>100465</v>
      </c>
    </row>
    <row r="2384" spans="5:5" ht="18" customHeight="1">
      <c r="E2384" s="3">
        <v>100466</v>
      </c>
    </row>
    <row r="2385" spans="5:5" ht="18" customHeight="1">
      <c r="E2385" s="3">
        <v>100467</v>
      </c>
    </row>
    <row r="2386" spans="5:5" ht="18" customHeight="1">
      <c r="E2386" s="3">
        <v>100468</v>
      </c>
    </row>
    <row r="2387" spans="5:5" ht="18" customHeight="1">
      <c r="E2387" s="3">
        <v>10073</v>
      </c>
    </row>
    <row r="2388" spans="5:5" ht="18" customHeight="1">
      <c r="E2388" s="3">
        <v>42606</v>
      </c>
    </row>
    <row r="2389" spans="5:5" ht="18" customHeight="1">
      <c r="E2389" s="3">
        <v>34197</v>
      </c>
    </row>
    <row r="2390" spans="5:5" ht="18" customHeight="1">
      <c r="E2390" s="3">
        <v>34198</v>
      </c>
    </row>
    <row r="2391" spans="5:5" ht="18" customHeight="1">
      <c r="E2391" s="3">
        <v>34199</v>
      </c>
    </row>
    <row r="2392" spans="5:5" ht="18" customHeight="1">
      <c r="E2392" s="3">
        <v>80735</v>
      </c>
    </row>
    <row r="2393" spans="5:5" ht="18" customHeight="1">
      <c r="E2393" s="3">
        <v>34201</v>
      </c>
    </row>
    <row r="2394" spans="5:5" ht="18" customHeight="1">
      <c r="E2394" s="3">
        <v>80736</v>
      </c>
    </row>
    <row r="2395" spans="5:5" ht="18" customHeight="1">
      <c r="E2395" s="3">
        <v>140680</v>
      </c>
    </row>
    <row r="2396" spans="5:5" ht="18" customHeight="1">
      <c r="E2396" s="3">
        <v>140681</v>
      </c>
    </row>
    <row r="2397" spans="5:5" ht="18" customHeight="1">
      <c r="E2397" s="3">
        <v>140682</v>
      </c>
    </row>
    <row r="2398" spans="5:5" ht="18" customHeight="1">
      <c r="E2398" s="3">
        <v>140683</v>
      </c>
    </row>
    <row r="2399" spans="5:5" ht="18" customHeight="1">
      <c r="E2399" s="3">
        <v>140684</v>
      </c>
    </row>
    <row r="2400" spans="5:5" ht="18" customHeight="1">
      <c r="E2400" s="3">
        <v>140685</v>
      </c>
    </row>
    <row r="2401" spans="5:5" ht="18" customHeight="1">
      <c r="E2401" s="3">
        <v>140686</v>
      </c>
    </row>
    <row r="2402" spans="5:5" ht="18" customHeight="1">
      <c r="E2402" s="3">
        <v>140687</v>
      </c>
    </row>
    <row r="2403" spans="5:5" ht="18" customHeight="1">
      <c r="E2403" s="3">
        <v>140688</v>
      </c>
    </row>
    <row r="2404" spans="5:5" ht="18" customHeight="1">
      <c r="E2404" s="3">
        <v>140689</v>
      </c>
    </row>
    <row r="2405" spans="5:5" ht="18" customHeight="1">
      <c r="E2405" s="3">
        <v>140690</v>
      </c>
    </row>
    <row r="2406" spans="5:5" ht="18" customHeight="1">
      <c r="E2406" s="3">
        <v>140691</v>
      </c>
    </row>
    <row r="2407" spans="5:5" ht="18" customHeight="1">
      <c r="E2407" s="3">
        <v>140692</v>
      </c>
    </row>
    <row r="2408" spans="5:5" ht="18" customHeight="1">
      <c r="E2408" s="3">
        <v>140693</v>
      </c>
    </row>
    <row r="2409" spans="5:5" ht="18" customHeight="1">
      <c r="E2409" s="3">
        <v>140694</v>
      </c>
    </row>
    <row r="2410" spans="5:5" ht="18" customHeight="1">
      <c r="E2410" s="3">
        <v>140695</v>
      </c>
    </row>
    <row r="2411" spans="5:5" ht="18" customHeight="1">
      <c r="E2411" s="3">
        <v>140696</v>
      </c>
    </row>
    <row r="2412" spans="5:5" ht="18" customHeight="1">
      <c r="E2412" s="3">
        <v>140697</v>
      </c>
    </row>
    <row r="2413" spans="5:5" ht="18" customHeight="1">
      <c r="E2413" s="3">
        <v>34202</v>
      </c>
    </row>
    <row r="2414" spans="5:5" ht="18" customHeight="1">
      <c r="E2414" s="3">
        <v>34203</v>
      </c>
    </row>
    <row r="2415" spans="5:5" ht="18" customHeight="1">
      <c r="E2415" s="3">
        <v>140698</v>
      </c>
    </row>
    <row r="2416" spans="5:5" ht="18" customHeight="1">
      <c r="E2416" s="3">
        <v>140699</v>
      </c>
    </row>
    <row r="2417" spans="5:5" ht="18" customHeight="1">
      <c r="E2417" s="3">
        <v>140700</v>
      </c>
    </row>
    <row r="2418" spans="5:5" ht="18" customHeight="1">
      <c r="E2418" s="3">
        <v>140701</v>
      </c>
    </row>
    <row r="2419" spans="5:5" ht="18" customHeight="1">
      <c r="E2419" s="3">
        <v>140702</v>
      </c>
    </row>
    <row r="2420" spans="5:5" ht="18" customHeight="1">
      <c r="E2420" s="3">
        <v>140703</v>
      </c>
    </row>
    <row r="2421" spans="5:5" ht="18" customHeight="1">
      <c r="E2421" s="3">
        <v>140704</v>
      </c>
    </row>
    <row r="2422" spans="5:5" ht="18" customHeight="1">
      <c r="E2422" s="3">
        <v>140705</v>
      </c>
    </row>
    <row r="2423" spans="5:5" ht="18" customHeight="1">
      <c r="E2423" s="3">
        <v>140706</v>
      </c>
    </row>
    <row r="2424" spans="5:5" ht="18" customHeight="1">
      <c r="E2424" s="3">
        <v>140707</v>
      </c>
    </row>
    <row r="2425" spans="5:5" ht="18" customHeight="1">
      <c r="E2425" s="3">
        <v>140708</v>
      </c>
    </row>
    <row r="2426" spans="5:5" ht="18" customHeight="1">
      <c r="E2426" s="3">
        <v>140709</v>
      </c>
    </row>
    <row r="2427" spans="5:5" ht="18" customHeight="1">
      <c r="E2427" s="3">
        <v>140710</v>
      </c>
    </row>
    <row r="2428" spans="5:5" ht="18" customHeight="1">
      <c r="E2428" s="3">
        <v>140711</v>
      </c>
    </row>
    <row r="2429" spans="5:5" ht="18" customHeight="1">
      <c r="E2429" s="3">
        <v>140712</v>
      </c>
    </row>
    <row r="2430" spans="5:5" ht="18" customHeight="1">
      <c r="E2430" s="3">
        <v>140713</v>
      </c>
    </row>
    <row r="2431" spans="5:5" ht="18" customHeight="1">
      <c r="E2431" s="3">
        <v>140714</v>
      </c>
    </row>
    <row r="2432" spans="5:5" ht="18" customHeight="1">
      <c r="E2432" s="3">
        <v>140715</v>
      </c>
    </row>
    <row r="2433" spans="5:5" ht="18" customHeight="1">
      <c r="E2433" s="3">
        <v>140716</v>
      </c>
    </row>
    <row r="2434" spans="5:5" ht="18" customHeight="1">
      <c r="E2434" s="3">
        <v>34204</v>
      </c>
    </row>
    <row r="2435" spans="5:5" ht="18" customHeight="1">
      <c r="E2435" s="3">
        <v>80737</v>
      </c>
    </row>
    <row r="2436" spans="5:5" ht="18" customHeight="1">
      <c r="E2436" s="3">
        <v>80738</v>
      </c>
    </row>
    <row r="2437" spans="5:5" ht="18" customHeight="1">
      <c r="E2437" s="3">
        <v>80739</v>
      </c>
    </row>
    <row r="2438" spans="5:5" ht="18" customHeight="1">
      <c r="E2438" s="3">
        <v>80740</v>
      </c>
    </row>
    <row r="2439" spans="5:5" ht="18" customHeight="1">
      <c r="E2439" s="3">
        <v>34205</v>
      </c>
    </row>
    <row r="2440" spans="5:5" ht="18" customHeight="1">
      <c r="E2440" s="3">
        <v>140717</v>
      </c>
    </row>
    <row r="2441" spans="5:5" ht="18" customHeight="1">
      <c r="E2441" s="3">
        <v>140718</v>
      </c>
    </row>
    <row r="2442" spans="5:5" ht="18" customHeight="1">
      <c r="E2442" s="3">
        <v>140719</v>
      </c>
    </row>
    <row r="2443" spans="5:5" ht="18" customHeight="1">
      <c r="E2443" s="3">
        <v>140720</v>
      </c>
    </row>
    <row r="2444" spans="5:5" ht="18" customHeight="1">
      <c r="E2444" s="3">
        <v>140721</v>
      </c>
    </row>
    <row r="2445" spans="5:5" ht="18" customHeight="1">
      <c r="E2445" s="3">
        <v>140722</v>
      </c>
    </row>
    <row r="2446" spans="5:5" ht="18" customHeight="1">
      <c r="E2446" s="3">
        <v>140723</v>
      </c>
    </row>
    <row r="2447" spans="5:5" ht="18" customHeight="1">
      <c r="E2447" s="3">
        <v>140724</v>
      </c>
    </row>
    <row r="2448" spans="5:5" ht="18" customHeight="1">
      <c r="E2448" s="3">
        <v>140725</v>
      </c>
    </row>
    <row r="2449" spans="5:5" ht="18" customHeight="1">
      <c r="E2449" s="3">
        <v>140726</v>
      </c>
    </row>
    <row r="2450" spans="5:5" ht="18" customHeight="1">
      <c r="E2450" s="3">
        <v>140727</v>
      </c>
    </row>
    <row r="2451" spans="5:5" ht="18" customHeight="1">
      <c r="E2451" s="3">
        <v>140728</v>
      </c>
    </row>
    <row r="2452" spans="5:5" ht="18" customHeight="1">
      <c r="E2452" s="3">
        <v>140729</v>
      </c>
    </row>
    <row r="2453" spans="5:5" ht="18" customHeight="1">
      <c r="E2453" s="3">
        <v>140730</v>
      </c>
    </row>
    <row r="2454" spans="5:5" ht="18" customHeight="1">
      <c r="E2454" s="3">
        <v>140731</v>
      </c>
    </row>
    <row r="2455" spans="5:5" ht="18" customHeight="1">
      <c r="E2455" s="3">
        <v>140732</v>
      </c>
    </row>
    <row r="2456" spans="5:5" ht="18" customHeight="1">
      <c r="E2456" s="3">
        <v>140733</v>
      </c>
    </row>
    <row r="2457" spans="5:5" ht="18" customHeight="1">
      <c r="E2457" s="3">
        <v>34206</v>
      </c>
    </row>
    <row r="2458" spans="5:5" ht="18" customHeight="1">
      <c r="E2458" s="3">
        <v>140735</v>
      </c>
    </row>
    <row r="2459" spans="5:5" ht="18" customHeight="1">
      <c r="E2459" s="3">
        <v>140736</v>
      </c>
    </row>
    <row r="2460" spans="5:5" ht="18" customHeight="1">
      <c r="E2460" s="3">
        <v>140737</v>
      </c>
    </row>
    <row r="2461" spans="5:5" ht="18" customHeight="1">
      <c r="E2461" s="3">
        <v>140738</v>
      </c>
    </row>
    <row r="2462" spans="5:5" ht="18" customHeight="1">
      <c r="E2462" s="3">
        <v>140739</v>
      </c>
    </row>
    <row r="2463" spans="5:5" ht="18" customHeight="1">
      <c r="E2463" s="3">
        <v>172521</v>
      </c>
    </row>
    <row r="2464" spans="5:5" ht="18" customHeight="1">
      <c r="E2464" s="3">
        <v>140740</v>
      </c>
    </row>
    <row r="2465" spans="5:5" ht="18" customHeight="1">
      <c r="E2465" s="3">
        <v>140741</v>
      </c>
    </row>
    <row r="2466" spans="5:5" ht="18" customHeight="1">
      <c r="E2466" s="3">
        <v>140742</v>
      </c>
    </row>
    <row r="2467" spans="5:5" ht="18" customHeight="1">
      <c r="E2467" s="3">
        <v>34207</v>
      </c>
    </row>
    <row r="2468" spans="5:5" ht="18" customHeight="1">
      <c r="E2468" s="3">
        <v>80741</v>
      </c>
    </row>
    <row r="2469" spans="5:5" ht="18" customHeight="1">
      <c r="E2469" s="3">
        <v>140743</v>
      </c>
    </row>
    <row r="2470" spans="5:5" ht="18" customHeight="1">
      <c r="E2470" s="3">
        <v>34200</v>
      </c>
    </row>
    <row r="2471" spans="5:5" ht="18" customHeight="1">
      <c r="E2471" s="3">
        <v>34208</v>
      </c>
    </row>
    <row r="2472" spans="5:5" ht="18" customHeight="1">
      <c r="E2472" s="3">
        <v>140744</v>
      </c>
    </row>
    <row r="2473" spans="5:5" ht="18" customHeight="1">
      <c r="E2473" s="3">
        <v>140745</v>
      </c>
    </row>
    <row r="2474" spans="5:5" ht="18" customHeight="1">
      <c r="E2474" s="3">
        <v>140746</v>
      </c>
    </row>
    <row r="2475" spans="5:5" ht="18" customHeight="1">
      <c r="E2475" s="3">
        <v>140747</v>
      </c>
    </row>
    <row r="2476" spans="5:5" ht="18" customHeight="1">
      <c r="E2476" s="3">
        <v>140748</v>
      </c>
    </row>
    <row r="2477" spans="5:5" ht="18" customHeight="1">
      <c r="E2477" s="3">
        <v>170139</v>
      </c>
    </row>
    <row r="2478" spans="5:5" ht="18" customHeight="1">
      <c r="E2478" s="3">
        <v>34209</v>
      </c>
    </row>
    <row r="2479" spans="5:5" ht="18" customHeight="1">
      <c r="E2479" s="3">
        <v>10076</v>
      </c>
    </row>
    <row r="2480" spans="5:5" ht="18" customHeight="1">
      <c r="E2480" s="3">
        <v>50467</v>
      </c>
    </row>
    <row r="2481" spans="5:5" ht="18" customHeight="1">
      <c r="E2481" s="3">
        <v>40014</v>
      </c>
    </row>
    <row r="2482" spans="5:5" ht="18" customHeight="1">
      <c r="E2482" s="3">
        <v>40015</v>
      </c>
    </row>
    <row r="2483" spans="5:5" ht="18" customHeight="1">
      <c r="E2483" s="3">
        <v>40019</v>
      </c>
    </row>
    <row r="2484" spans="5:5" ht="18" customHeight="1">
      <c r="E2484" s="3">
        <v>40020</v>
      </c>
    </row>
    <row r="2485" spans="5:5" ht="18" customHeight="1">
      <c r="E2485" s="3">
        <v>40021</v>
      </c>
    </row>
    <row r="2486" spans="5:5" ht="18" customHeight="1">
      <c r="E2486" s="3">
        <v>40022</v>
      </c>
    </row>
    <row r="2487" spans="5:5" ht="18" customHeight="1">
      <c r="E2487" s="3">
        <v>34285</v>
      </c>
    </row>
    <row r="2488" spans="5:5" ht="18" customHeight="1">
      <c r="E2488" s="3">
        <v>50466</v>
      </c>
    </row>
    <row r="2489" spans="5:5" ht="18" customHeight="1">
      <c r="E2489" s="3">
        <v>177622</v>
      </c>
    </row>
    <row r="2490" spans="5:5" ht="18" customHeight="1">
      <c r="E2490" s="3">
        <v>46092</v>
      </c>
    </row>
    <row r="2491" spans="5:5" ht="18" customHeight="1">
      <c r="E2491" s="3">
        <v>46093</v>
      </c>
    </row>
    <row r="2492" spans="5:5" ht="18" customHeight="1">
      <c r="E2492" s="3">
        <v>6755</v>
      </c>
    </row>
    <row r="2493" spans="5:5" ht="18" customHeight="1">
      <c r="E2493" s="3">
        <v>34998</v>
      </c>
    </row>
    <row r="2494" spans="5:5" ht="18" customHeight="1">
      <c r="E2494" s="3">
        <v>43986</v>
      </c>
    </row>
    <row r="2495" spans="5:5" ht="18" customHeight="1">
      <c r="E2495" s="3">
        <v>43985</v>
      </c>
    </row>
    <row r="2496" spans="5:5" ht="18" customHeight="1">
      <c r="E2496" s="3">
        <v>179414</v>
      </c>
    </row>
    <row r="2497" spans="5:5" ht="18" customHeight="1">
      <c r="E2497" s="3">
        <v>179415</v>
      </c>
    </row>
    <row r="2498" spans="5:5" ht="18" customHeight="1">
      <c r="E2498" s="3">
        <v>179416</v>
      </c>
    </row>
    <row r="2499" spans="5:5" ht="18" customHeight="1">
      <c r="E2499" s="3">
        <v>179417</v>
      </c>
    </row>
    <row r="2500" spans="5:5" ht="18" customHeight="1">
      <c r="E2500" s="3">
        <v>179418</v>
      </c>
    </row>
    <row r="2501" spans="5:5" ht="18" customHeight="1">
      <c r="E2501" s="3">
        <v>179419</v>
      </c>
    </row>
    <row r="2502" spans="5:5" ht="18" customHeight="1">
      <c r="E2502" s="3">
        <v>43987</v>
      </c>
    </row>
    <row r="2503" spans="5:5" ht="18" customHeight="1">
      <c r="E2503" s="3">
        <v>179420</v>
      </c>
    </row>
    <row r="2504" spans="5:5" ht="18" customHeight="1">
      <c r="E2504" s="3">
        <v>34999</v>
      </c>
    </row>
    <row r="2505" spans="5:5" ht="18" customHeight="1">
      <c r="E2505" s="3">
        <v>179421</v>
      </c>
    </row>
    <row r="2506" spans="5:5" ht="18" customHeight="1">
      <c r="E2506" s="3">
        <v>179423</v>
      </c>
    </row>
    <row r="2507" spans="5:5" ht="18" customHeight="1">
      <c r="E2507" s="3">
        <v>179424</v>
      </c>
    </row>
    <row r="2508" spans="5:5" ht="18" customHeight="1">
      <c r="E2508" s="3">
        <v>179425</v>
      </c>
    </row>
    <row r="2509" spans="5:5" ht="18" customHeight="1">
      <c r="E2509" s="3">
        <v>179426</v>
      </c>
    </row>
    <row r="2510" spans="5:5" ht="18" customHeight="1">
      <c r="E2510" s="3">
        <v>179427</v>
      </c>
    </row>
    <row r="2511" spans="5:5" ht="18" customHeight="1">
      <c r="E2511" s="3">
        <v>180038</v>
      </c>
    </row>
    <row r="2512" spans="5:5" ht="18" customHeight="1">
      <c r="E2512" s="3">
        <v>179428</v>
      </c>
    </row>
    <row r="2513" spans="5:5" ht="18" customHeight="1">
      <c r="E2513" s="3">
        <v>179429</v>
      </c>
    </row>
    <row r="2514" spans="5:5" ht="18" customHeight="1">
      <c r="E2514" s="3">
        <v>179430</v>
      </c>
    </row>
    <row r="2515" spans="5:5" ht="18" customHeight="1">
      <c r="E2515" s="3">
        <v>179422</v>
      </c>
    </row>
    <row r="2516" spans="5:5" ht="18" customHeight="1">
      <c r="E2516" s="3">
        <v>179431</v>
      </c>
    </row>
    <row r="2517" spans="5:5" ht="18" customHeight="1">
      <c r="E2517" s="3">
        <v>179432</v>
      </c>
    </row>
    <row r="2518" spans="5:5" ht="18" customHeight="1">
      <c r="E2518" s="3">
        <v>179433</v>
      </c>
    </row>
    <row r="2519" spans="5:5" ht="18" customHeight="1">
      <c r="E2519" s="3">
        <v>179434</v>
      </c>
    </row>
    <row r="2520" spans="5:5" ht="18" customHeight="1">
      <c r="E2520" s="3">
        <v>179435</v>
      </c>
    </row>
    <row r="2521" spans="5:5" ht="18" customHeight="1">
      <c r="E2521" s="3">
        <v>179436</v>
      </c>
    </row>
    <row r="2522" spans="5:5" ht="18" customHeight="1">
      <c r="E2522" s="3">
        <v>179437</v>
      </c>
    </row>
    <row r="2523" spans="5:5" ht="18" customHeight="1">
      <c r="E2523" s="3">
        <v>179438</v>
      </c>
    </row>
    <row r="2524" spans="5:5" ht="18" customHeight="1">
      <c r="E2524" s="3">
        <v>179439</v>
      </c>
    </row>
    <row r="2525" spans="5:5" ht="18" customHeight="1">
      <c r="E2525" s="3">
        <v>179440</v>
      </c>
    </row>
    <row r="2526" spans="5:5" ht="18" customHeight="1">
      <c r="E2526" s="3">
        <v>179441</v>
      </c>
    </row>
    <row r="2527" spans="5:5" ht="18" customHeight="1">
      <c r="E2527" s="3">
        <v>179442</v>
      </c>
    </row>
    <row r="2528" spans="5:5" ht="18" customHeight="1">
      <c r="E2528" s="3">
        <v>179443</v>
      </c>
    </row>
    <row r="2529" spans="5:5" ht="18" customHeight="1">
      <c r="E2529" s="3">
        <v>179444</v>
      </c>
    </row>
    <row r="2530" spans="5:5" ht="18" customHeight="1">
      <c r="E2530" s="3">
        <v>179445</v>
      </c>
    </row>
    <row r="2531" spans="5:5" ht="18" customHeight="1">
      <c r="E2531" s="3">
        <v>179446</v>
      </c>
    </row>
    <row r="2532" spans="5:5" ht="18" customHeight="1">
      <c r="E2532" s="3">
        <v>179447</v>
      </c>
    </row>
    <row r="2533" spans="5:5" ht="18" customHeight="1">
      <c r="E2533" s="3">
        <v>179448</v>
      </c>
    </row>
    <row r="2534" spans="5:5" ht="18" customHeight="1">
      <c r="E2534" s="3">
        <v>179449</v>
      </c>
    </row>
    <row r="2535" spans="5:5" ht="18" customHeight="1">
      <c r="E2535" s="3">
        <v>179450</v>
      </c>
    </row>
    <row r="2536" spans="5:5" ht="18" customHeight="1">
      <c r="E2536" s="3">
        <v>179451</v>
      </c>
    </row>
    <row r="2537" spans="5:5" ht="18" customHeight="1">
      <c r="E2537" s="3">
        <v>179452</v>
      </c>
    </row>
    <row r="2538" spans="5:5" ht="18" customHeight="1">
      <c r="E2538" s="3">
        <v>179453</v>
      </c>
    </row>
    <row r="2539" spans="5:5" ht="18" customHeight="1">
      <c r="E2539" s="3">
        <v>179454</v>
      </c>
    </row>
    <row r="2540" spans="5:5" ht="18" customHeight="1">
      <c r="E2540" s="3">
        <v>179455</v>
      </c>
    </row>
    <row r="2541" spans="5:5" ht="18" customHeight="1">
      <c r="E2541" s="3">
        <v>179456</v>
      </c>
    </row>
    <row r="2542" spans="5:5" ht="18" customHeight="1">
      <c r="E2542" s="3">
        <v>179457</v>
      </c>
    </row>
    <row r="2543" spans="5:5" ht="18" customHeight="1">
      <c r="E2543" s="3">
        <v>179458</v>
      </c>
    </row>
    <row r="2544" spans="5:5" ht="18" customHeight="1">
      <c r="E2544" s="3">
        <v>179459</v>
      </c>
    </row>
    <row r="2545" spans="5:5" ht="18" customHeight="1">
      <c r="E2545" s="3">
        <v>179460</v>
      </c>
    </row>
    <row r="2546" spans="5:5" ht="18" customHeight="1">
      <c r="E2546" s="3">
        <v>179461</v>
      </c>
    </row>
    <row r="2547" spans="5:5" ht="18" customHeight="1">
      <c r="E2547" s="3">
        <v>179462</v>
      </c>
    </row>
    <row r="2548" spans="5:5" ht="18" customHeight="1">
      <c r="E2548" s="3">
        <v>179463</v>
      </c>
    </row>
    <row r="2549" spans="5:5" ht="18" customHeight="1">
      <c r="E2549" s="3">
        <v>179464</v>
      </c>
    </row>
    <row r="2550" spans="5:5" ht="18" customHeight="1">
      <c r="E2550" s="3">
        <v>179465</v>
      </c>
    </row>
    <row r="2551" spans="5:5" ht="18" customHeight="1">
      <c r="E2551" s="3">
        <v>179466</v>
      </c>
    </row>
    <row r="2552" spans="5:5" ht="18" customHeight="1">
      <c r="E2552" s="3">
        <v>179467</v>
      </c>
    </row>
    <row r="2553" spans="5:5" ht="18" customHeight="1">
      <c r="E2553" s="3">
        <v>179468</v>
      </c>
    </row>
    <row r="2554" spans="5:5" ht="18" customHeight="1">
      <c r="E2554" s="3">
        <v>179469</v>
      </c>
    </row>
    <row r="2555" spans="5:5" ht="18" customHeight="1">
      <c r="E2555" s="3">
        <v>179470</v>
      </c>
    </row>
    <row r="2556" spans="5:5" ht="18" customHeight="1">
      <c r="E2556" s="3">
        <v>179471</v>
      </c>
    </row>
    <row r="2557" spans="5:5" ht="18" customHeight="1">
      <c r="E2557" s="3">
        <v>179472</v>
      </c>
    </row>
    <row r="2558" spans="5:5" ht="18" customHeight="1">
      <c r="E2558" s="3">
        <v>179473</v>
      </c>
    </row>
    <row r="2559" spans="5:5" ht="18" customHeight="1">
      <c r="E2559" s="3">
        <v>179474</v>
      </c>
    </row>
    <row r="2560" spans="5:5" ht="18" customHeight="1">
      <c r="E2560" s="3">
        <v>179475</v>
      </c>
    </row>
    <row r="2561" spans="5:5" ht="18" customHeight="1">
      <c r="E2561" s="3">
        <v>179476</v>
      </c>
    </row>
    <row r="2562" spans="5:5" ht="18" customHeight="1">
      <c r="E2562" s="3">
        <v>179477</v>
      </c>
    </row>
    <row r="2563" spans="5:5" ht="18" customHeight="1">
      <c r="E2563" s="3">
        <v>179478</v>
      </c>
    </row>
    <row r="2564" spans="5:5" ht="18" customHeight="1">
      <c r="E2564" s="3">
        <v>179479</v>
      </c>
    </row>
    <row r="2565" spans="5:5" ht="18" customHeight="1">
      <c r="E2565" s="3">
        <v>179480</v>
      </c>
    </row>
    <row r="2566" spans="5:5" ht="18" customHeight="1">
      <c r="E2566" s="3">
        <v>179481</v>
      </c>
    </row>
    <row r="2567" spans="5:5" ht="18" customHeight="1">
      <c r="E2567" s="3">
        <v>179482</v>
      </c>
    </row>
    <row r="2568" spans="5:5" ht="18" customHeight="1">
      <c r="E2568" s="3">
        <v>179483</v>
      </c>
    </row>
    <row r="2569" spans="5:5" ht="18" customHeight="1">
      <c r="E2569" s="3">
        <v>179484</v>
      </c>
    </row>
    <row r="2570" spans="5:5" ht="18" customHeight="1">
      <c r="E2570" s="3">
        <v>179485</v>
      </c>
    </row>
    <row r="2571" spans="5:5" ht="18" customHeight="1">
      <c r="E2571" s="3">
        <v>180040</v>
      </c>
    </row>
    <row r="2572" spans="5:5" ht="18" customHeight="1">
      <c r="E2572" s="3">
        <v>179486</v>
      </c>
    </row>
    <row r="2573" spans="5:5" ht="18" customHeight="1">
      <c r="E2573" s="3">
        <v>179487</v>
      </c>
    </row>
    <row r="2574" spans="5:5" ht="18" customHeight="1">
      <c r="E2574" s="3">
        <v>179488</v>
      </c>
    </row>
    <row r="2575" spans="5:5" ht="18" customHeight="1">
      <c r="E2575" s="3">
        <v>179489</v>
      </c>
    </row>
    <row r="2576" spans="5:5" ht="18" customHeight="1">
      <c r="E2576" s="3">
        <v>179490</v>
      </c>
    </row>
    <row r="2577" spans="5:5" ht="18" customHeight="1">
      <c r="E2577" s="3">
        <v>179491</v>
      </c>
    </row>
    <row r="2578" spans="5:5" ht="18" customHeight="1">
      <c r="E2578" s="3">
        <v>179492</v>
      </c>
    </row>
    <row r="2579" spans="5:5" ht="18" customHeight="1">
      <c r="E2579" s="3">
        <v>179493</v>
      </c>
    </row>
    <row r="2580" spans="5:5" ht="18" customHeight="1">
      <c r="E2580" s="3">
        <v>179494</v>
      </c>
    </row>
    <row r="2581" spans="5:5" ht="18" customHeight="1">
      <c r="E2581" s="3">
        <v>179495</v>
      </c>
    </row>
    <row r="2582" spans="5:5" ht="18" customHeight="1">
      <c r="E2582" s="3">
        <v>179496</v>
      </c>
    </row>
    <row r="2583" spans="5:5" ht="18" customHeight="1">
      <c r="E2583" s="3">
        <v>179497</v>
      </c>
    </row>
    <row r="2584" spans="5:5" ht="18" customHeight="1">
      <c r="E2584" s="3">
        <v>179498</v>
      </c>
    </row>
    <row r="2585" spans="5:5" ht="18" customHeight="1">
      <c r="E2585" s="3">
        <v>179499</v>
      </c>
    </row>
    <row r="2586" spans="5:5" ht="18" customHeight="1">
      <c r="E2586" s="3">
        <v>179500</v>
      </c>
    </row>
    <row r="2587" spans="5:5" ht="18" customHeight="1">
      <c r="E2587" s="3">
        <v>179501</v>
      </c>
    </row>
    <row r="2588" spans="5:5" ht="18" customHeight="1">
      <c r="E2588" s="3">
        <v>179502</v>
      </c>
    </row>
    <row r="2589" spans="5:5" ht="18" customHeight="1">
      <c r="E2589" s="3">
        <v>179503</v>
      </c>
    </row>
    <row r="2590" spans="5:5" ht="18" customHeight="1">
      <c r="E2590" s="3">
        <v>43990</v>
      </c>
    </row>
    <row r="2591" spans="5:5" ht="18" customHeight="1">
      <c r="E2591" s="3">
        <v>179520</v>
      </c>
    </row>
    <row r="2592" spans="5:5" ht="18" customHeight="1">
      <c r="E2592" s="3">
        <v>179662</v>
      </c>
    </row>
    <row r="2593" spans="5:5" ht="18" customHeight="1">
      <c r="E2593" s="3">
        <v>179521</v>
      </c>
    </row>
    <row r="2594" spans="5:5" ht="18" customHeight="1">
      <c r="E2594" s="3">
        <v>43995</v>
      </c>
    </row>
    <row r="2595" spans="5:5" ht="18" customHeight="1">
      <c r="E2595" s="3">
        <v>179663</v>
      </c>
    </row>
    <row r="2596" spans="5:5" ht="18" customHeight="1">
      <c r="E2596" s="3">
        <v>43991</v>
      </c>
    </row>
    <row r="2597" spans="5:5" ht="18" customHeight="1">
      <c r="E2597" s="3">
        <v>179522</v>
      </c>
    </row>
    <row r="2598" spans="5:5" ht="18" customHeight="1">
      <c r="E2598" s="3">
        <v>179523</v>
      </c>
    </row>
    <row r="2599" spans="5:5" ht="18" customHeight="1">
      <c r="E2599" s="3">
        <v>179524</v>
      </c>
    </row>
    <row r="2600" spans="5:5" ht="18" customHeight="1">
      <c r="E2600" s="3">
        <v>179525</v>
      </c>
    </row>
    <row r="2601" spans="5:5" ht="18" customHeight="1">
      <c r="E2601" s="3">
        <v>179526</v>
      </c>
    </row>
    <row r="2602" spans="5:5" ht="18" customHeight="1">
      <c r="E2602" s="3">
        <v>179527</v>
      </c>
    </row>
    <row r="2603" spans="5:5" ht="18" customHeight="1">
      <c r="E2603" s="3">
        <v>179528</v>
      </c>
    </row>
    <row r="2604" spans="5:5" ht="18" customHeight="1">
      <c r="E2604" s="3">
        <v>43994</v>
      </c>
    </row>
    <row r="2605" spans="5:5" ht="18" customHeight="1">
      <c r="E2605" s="3">
        <v>179529</v>
      </c>
    </row>
    <row r="2606" spans="5:5" ht="18" customHeight="1">
      <c r="E2606" s="3">
        <v>35625</v>
      </c>
    </row>
    <row r="2607" spans="5:5" ht="18" customHeight="1">
      <c r="E2607" s="3">
        <v>35000</v>
      </c>
    </row>
    <row r="2608" spans="5:5" ht="18" customHeight="1">
      <c r="E2608" s="3">
        <v>63694</v>
      </c>
    </row>
    <row r="2609" spans="5:5" ht="18" customHeight="1">
      <c r="E2609" s="3">
        <v>63696</v>
      </c>
    </row>
    <row r="2610" spans="5:5" ht="18" customHeight="1">
      <c r="E2610" s="3">
        <v>63695</v>
      </c>
    </row>
    <row r="2611" spans="5:5" ht="18" customHeight="1">
      <c r="E2611" s="3">
        <v>179504</v>
      </c>
    </row>
    <row r="2612" spans="5:5" ht="18" customHeight="1">
      <c r="E2612" s="3">
        <v>179505</v>
      </c>
    </row>
    <row r="2613" spans="5:5" ht="18" customHeight="1">
      <c r="E2613" s="3">
        <v>179506</v>
      </c>
    </row>
    <row r="2614" spans="5:5" ht="18" customHeight="1">
      <c r="E2614" s="3">
        <v>179507</v>
      </c>
    </row>
    <row r="2615" spans="5:5" ht="18" customHeight="1">
      <c r="E2615" s="3">
        <v>180039</v>
      </c>
    </row>
    <row r="2616" spans="5:5" ht="18" customHeight="1">
      <c r="E2616" s="3">
        <v>179508</v>
      </c>
    </row>
    <row r="2617" spans="5:5" ht="18" customHeight="1">
      <c r="E2617" s="3">
        <v>179509</v>
      </c>
    </row>
    <row r="2618" spans="5:5" ht="18" customHeight="1">
      <c r="E2618" s="3">
        <v>179510</v>
      </c>
    </row>
    <row r="2619" spans="5:5" ht="18" customHeight="1">
      <c r="E2619" s="3">
        <v>179511</v>
      </c>
    </row>
    <row r="2620" spans="5:5" ht="18" customHeight="1">
      <c r="E2620" s="3">
        <v>63698</v>
      </c>
    </row>
    <row r="2621" spans="5:5" ht="18" customHeight="1">
      <c r="E2621" s="3">
        <v>179661</v>
      </c>
    </row>
    <row r="2622" spans="5:5" ht="18" customHeight="1">
      <c r="E2622" s="3">
        <v>179512</v>
      </c>
    </row>
    <row r="2623" spans="5:5" ht="18" customHeight="1">
      <c r="E2623" s="3">
        <v>179513</v>
      </c>
    </row>
    <row r="2624" spans="5:5" ht="18" customHeight="1">
      <c r="E2624" s="3">
        <v>179514</v>
      </c>
    </row>
    <row r="2625" spans="5:5" ht="18" customHeight="1">
      <c r="E2625" s="3">
        <v>179515</v>
      </c>
    </row>
    <row r="2626" spans="5:5" ht="18" customHeight="1">
      <c r="E2626" s="3">
        <v>63699</v>
      </c>
    </row>
    <row r="2627" spans="5:5" ht="18" customHeight="1">
      <c r="E2627" s="3">
        <v>63701</v>
      </c>
    </row>
    <row r="2628" spans="5:5" ht="18" customHeight="1">
      <c r="E2628" s="3">
        <v>179516</v>
      </c>
    </row>
    <row r="2629" spans="5:5" ht="18" customHeight="1">
      <c r="E2629" s="3">
        <v>179517</v>
      </c>
    </row>
    <row r="2630" spans="5:5" ht="18" customHeight="1">
      <c r="E2630" s="3">
        <v>179518</v>
      </c>
    </row>
    <row r="2631" spans="5:5" ht="18" customHeight="1">
      <c r="E2631" s="3">
        <v>179519</v>
      </c>
    </row>
    <row r="2632" spans="5:5" ht="18" customHeight="1">
      <c r="E2632" s="3">
        <v>63700</v>
      </c>
    </row>
    <row r="2633" spans="5:5" ht="18" customHeight="1">
      <c r="E2633" s="3">
        <v>43998</v>
      </c>
    </row>
    <row r="2634" spans="5:5" ht="18" customHeight="1">
      <c r="E2634" s="3">
        <v>168670</v>
      </c>
    </row>
  </sheetData>
  <phoneticPr fontId="16"/>
  <pageMargins left="0.7" right="0.7" top="0.75" bottom="0.75" header="0.3" footer="0.3"/>
  <pageSetup paperSize="9" orientation="portrait" horizontalDpi="4294967293" verticalDpi="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"/>
  <dimension ref="A2:AQ51"/>
  <sheetViews>
    <sheetView topLeftCell="A3" workbookViewId="0">
      <selection activeCell="AE22" sqref="AE22"/>
    </sheetView>
  </sheetViews>
  <sheetFormatPr defaultColWidth="9" defaultRowHeight="17.5"/>
  <cols>
    <col min="1" max="1" width="3.6640625" style="7" customWidth="1"/>
    <col min="2" max="5" width="9" style="7"/>
    <col min="6" max="6" width="11.6640625" style="7" customWidth="1"/>
    <col min="7" max="7" width="3.6640625" style="7" customWidth="1"/>
    <col min="8" max="8" width="9" style="7"/>
    <col min="9" max="9" width="12.1640625" style="7" customWidth="1"/>
    <col min="10" max="11" width="11.6640625" style="7" customWidth="1"/>
    <col min="12" max="12" width="3.6640625" style="7" customWidth="1"/>
    <col min="13" max="13" width="12.1640625" style="7" customWidth="1"/>
    <col min="14" max="14" width="11.6640625" style="7" customWidth="1"/>
    <col min="15" max="16" width="9" style="7"/>
    <col min="17" max="17" width="3.6640625" style="7" customWidth="1"/>
    <col min="18" max="22" width="11.6640625" style="7" customWidth="1"/>
    <col min="23" max="23" width="3.6640625" style="7" customWidth="1"/>
    <col min="24" max="28" width="11.6640625" style="7" customWidth="1"/>
    <col min="29" max="29" width="3.6640625" style="7" customWidth="1"/>
    <col min="30" max="33" width="11.6640625" style="7" customWidth="1"/>
    <col min="34" max="34" width="4" style="7" customWidth="1"/>
    <col min="35" max="36" width="9" style="7"/>
    <col min="37" max="37" width="11.83203125" style="7" customWidth="1"/>
    <col min="38" max="38" width="9" style="7"/>
    <col min="39" max="39" width="4.5" style="7" customWidth="1"/>
    <col min="40" max="41" width="9" style="7"/>
    <col min="42" max="42" width="12" style="7" customWidth="1"/>
    <col min="43" max="16384" width="9" style="7"/>
  </cols>
  <sheetData>
    <row r="2" spans="2:43">
      <c r="B2" s="6" t="s">
        <v>8</v>
      </c>
      <c r="C2" s="6"/>
      <c r="D2" s="6"/>
      <c r="E2" s="6"/>
      <c r="F2" s="6"/>
      <c r="G2" s="6"/>
      <c r="H2" s="6" t="s">
        <v>10</v>
      </c>
      <c r="I2" s="6"/>
      <c r="J2" s="6"/>
      <c r="K2" s="6"/>
      <c r="L2" s="6"/>
      <c r="M2" s="6" t="s">
        <v>12</v>
      </c>
      <c r="N2" s="6"/>
      <c r="O2" s="6"/>
      <c r="P2" s="6"/>
      <c r="Q2" s="6"/>
      <c r="R2" s="6" t="s">
        <v>13</v>
      </c>
      <c r="S2" s="6"/>
      <c r="T2" s="6"/>
      <c r="U2" s="6"/>
      <c r="V2" s="6"/>
      <c r="X2" s="6" t="s">
        <v>61</v>
      </c>
      <c r="Y2" s="6"/>
      <c r="Z2" s="6"/>
      <c r="AA2" s="6"/>
      <c r="AB2" s="6"/>
      <c r="AD2" s="6" t="s">
        <v>31</v>
      </c>
      <c r="AE2" s="6"/>
      <c r="AF2" s="6"/>
      <c r="AG2" s="6"/>
      <c r="AI2" s="6" t="s">
        <v>57</v>
      </c>
      <c r="AJ2" s="6"/>
      <c r="AK2" s="6"/>
      <c r="AL2" s="6"/>
      <c r="AN2" s="7" t="s">
        <v>56</v>
      </c>
    </row>
    <row r="3" spans="2:43" ht="43.5" customHeight="1">
      <c r="B3" s="12" t="s">
        <v>3</v>
      </c>
      <c r="C3" s="12" t="s">
        <v>4</v>
      </c>
      <c r="D3" s="12" t="s">
        <v>5</v>
      </c>
      <c r="E3" s="12" t="s">
        <v>6</v>
      </c>
      <c r="F3" s="21" t="s">
        <v>7</v>
      </c>
      <c r="G3" s="13"/>
      <c r="H3" s="12" t="s">
        <v>3</v>
      </c>
      <c r="I3" s="12" t="s">
        <v>4</v>
      </c>
      <c r="J3" s="12" t="s">
        <v>14</v>
      </c>
      <c r="K3" s="21" t="s">
        <v>7</v>
      </c>
      <c r="L3" s="13"/>
      <c r="M3" s="12" t="s">
        <v>3</v>
      </c>
      <c r="N3" s="12" t="s">
        <v>4</v>
      </c>
      <c r="O3" s="12" t="s">
        <v>14</v>
      </c>
      <c r="P3" s="21" t="s">
        <v>7</v>
      </c>
      <c r="Q3" s="13"/>
      <c r="R3" s="12" t="s">
        <v>3</v>
      </c>
      <c r="S3" s="12" t="s">
        <v>15</v>
      </c>
      <c r="T3" s="14" t="s">
        <v>16</v>
      </c>
      <c r="U3" s="12" t="s">
        <v>14</v>
      </c>
      <c r="V3" s="21" t="s">
        <v>7</v>
      </c>
      <c r="X3" s="12" t="s">
        <v>3</v>
      </c>
      <c r="Y3" s="12" t="s">
        <v>15</v>
      </c>
      <c r="Z3" s="21" t="s">
        <v>16</v>
      </c>
      <c r="AA3" s="21" t="s">
        <v>14</v>
      </c>
      <c r="AB3" s="21" t="s">
        <v>7</v>
      </c>
      <c r="AD3" s="12" t="s">
        <v>3</v>
      </c>
      <c r="AE3" s="12" t="s">
        <v>15</v>
      </c>
      <c r="AF3" s="21" t="s">
        <v>14</v>
      </c>
      <c r="AG3" s="21" t="s">
        <v>7</v>
      </c>
      <c r="AI3" s="12" t="s">
        <v>3</v>
      </c>
      <c r="AJ3" s="12" t="s">
        <v>58</v>
      </c>
      <c r="AK3" s="29" t="s">
        <v>59</v>
      </c>
      <c r="AL3" s="29" t="s">
        <v>60</v>
      </c>
      <c r="AN3" s="12" t="s">
        <v>3</v>
      </c>
      <c r="AO3" s="12" t="s">
        <v>58</v>
      </c>
      <c r="AP3" s="29" t="s">
        <v>59</v>
      </c>
      <c r="AQ3" s="29" t="s">
        <v>60</v>
      </c>
    </row>
    <row r="4" spans="2:43">
      <c r="B4" s="15">
        <v>1</v>
      </c>
      <c r="C4" s="16">
        <v>1400</v>
      </c>
      <c r="D4" s="16">
        <v>2000</v>
      </c>
      <c r="E4" s="16">
        <v>2200</v>
      </c>
      <c r="F4" s="17">
        <v>2400</v>
      </c>
      <c r="G4" s="6"/>
      <c r="H4" s="15">
        <v>1</v>
      </c>
      <c r="I4" s="16">
        <v>530</v>
      </c>
      <c r="J4" s="16">
        <v>560</v>
      </c>
      <c r="K4" s="7">
        <v>580</v>
      </c>
      <c r="L4" s="6"/>
      <c r="M4" s="15">
        <v>1</v>
      </c>
      <c r="N4" s="16">
        <v>570</v>
      </c>
      <c r="O4" s="16">
        <v>590</v>
      </c>
      <c r="P4" s="16">
        <v>610</v>
      </c>
      <c r="Q4" s="6"/>
      <c r="R4" s="15">
        <v>1</v>
      </c>
      <c r="S4" s="16">
        <v>1800</v>
      </c>
      <c r="T4" s="16">
        <v>2200</v>
      </c>
      <c r="U4" s="16">
        <v>2700</v>
      </c>
      <c r="V4" s="17">
        <v>3400</v>
      </c>
      <c r="X4" s="18">
        <v>1</v>
      </c>
      <c r="Y4" s="17"/>
      <c r="Z4" s="17"/>
      <c r="AA4" s="17"/>
      <c r="AB4" s="17"/>
      <c r="AD4" s="18">
        <v>1</v>
      </c>
      <c r="AE4" s="17">
        <v>530</v>
      </c>
      <c r="AF4" s="17">
        <v>550</v>
      </c>
      <c r="AG4" s="17">
        <v>570</v>
      </c>
      <c r="AI4" s="18">
        <v>20</v>
      </c>
      <c r="AJ4" s="17">
        <v>120</v>
      </c>
      <c r="AK4" s="17">
        <v>150</v>
      </c>
      <c r="AL4" s="17">
        <v>170</v>
      </c>
      <c r="AN4" s="18">
        <v>20</v>
      </c>
      <c r="AO4" s="17">
        <v>160</v>
      </c>
      <c r="AP4" s="17">
        <v>180</v>
      </c>
      <c r="AQ4" s="17">
        <v>200</v>
      </c>
    </row>
    <row r="5" spans="2:43">
      <c r="B5" s="15">
        <v>301</v>
      </c>
      <c r="C5" s="16">
        <v>1400</v>
      </c>
      <c r="D5" s="16">
        <v>2000</v>
      </c>
      <c r="E5" s="16">
        <v>2200</v>
      </c>
      <c r="F5" s="17">
        <v>2400</v>
      </c>
      <c r="G5" s="6"/>
      <c r="H5" s="15">
        <v>51</v>
      </c>
      <c r="I5" s="16">
        <v>580</v>
      </c>
      <c r="J5" s="16">
        <v>635</v>
      </c>
      <c r="K5" s="7">
        <v>685</v>
      </c>
      <c r="L5" s="6"/>
      <c r="M5" s="18">
        <v>101</v>
      </c>
      <c r="N5" s="16">
        <v>650</v>
      </c>
      <c r="O5" s="16">
        <v>690</v>
      </c>
      <c r="P5" s="16">
        <v>730</v>
      </c>
      <c r="Q5" s="6"/>
      <c r="R5" s="15">
        <v>1001</v>
      </c>
      <c r="S5" s="16">
        <v>2400</v>
      </c>
      <c r="T5" s="16">
        <v>2900</v>
      </c>
      <c r="U5" s="16">
        <v>3850</v>
      </c>
      <c r="V5" s="17">
        <v>5000</v>
      </c>
      <c r="X5" s="15">
        <v>501</v>
      </c>
      <c r="Y5" s="17"/>
      <c r="Z5" s="17"/>
      <c r="AA5" s="17"/>
      <c r="AB5" s="17"/>
      <c r="AD5" s="15">
        <v>101</v>
      </c>
      <c r="AE5" s="17">
        <v>580</v>
      </c>
      <c r="AF5" s="17">
        <v>620</v>
      </c>
      <c r="AG5" s="17">
        <v>660</v>
      </c>
      <c r="AI5" s="15">
        <v>25</v>
      </c>
      <c r="AJ5" s="17">
        <v>120</v>
      </c>
      <c r="AK5" s="17">
        <v>150</v>
      </c>
      <c r="AL5" s="17">
        <v>170</v>
      </c>
      <c r="AN5" s="15">
        <v>50</v>
      </c>
      <c r="AO5" s="17">
        <v>160</v>
      </c>
      <c r="AP5" s="17">
        <v>180</v>
      </c>
      <c r="AQ5" s="17">
        <v>200</v>
      </c>
    </row>
    <row r="6" spans="2:43">
      <c r="B6" s="15">
        <v>501</v>
      </c>
      <c r="C6" s="16">
        <v>1540</v>
      </c>
      <c r="D6" s="16">
        <v>2180</v>
      </c>
      <c r="E6" s="16">
        <v>2400</v>
      </c>
      <c r="F6" s="17">
        <v>2740</v>
      </c>
      <c r="G6" s="6"/>
      <c r="H6" s="15">
        <v>101</v>
      </c>
      <c r="I6" s="16">
        <v>630</v>
      </c>
      <c r="J6" s="16">
        <v>710</v>
      </c>
      <c r="K6" s="7">
        <v>790</v>
      </c>
      <c r="L6" s="6"/>
      <c r="M6" s="15">
        <v>201</v>
      </c>
      <c r="N6" s="16">
        <v>730</v>
      </c>
      <c r="O6" s="16">
        <v>790</v>
      </c>
      <c r="P6" s="16">
        <v>850</v>
      </c>
      <c r="Q6" s="6"/>
      <c r="R6" s="15">
        <v>2001</v>
      </c>
      <c r="S6" s="16">
        <v>3000</v>
      </c>
      <c r="T6" s="16">
        <v>3600</v>
      </c>
      <c r="U6" s="16">
        <v>5000</v>
      </c>
      <c r="V6" s="17">
        <v>6600</v>
      </c>
      <c r="X6" s="15">
        <v>1001</v>
      </c>
      <c r="Y6" s="17"/>
      <c r="Z6" s="17"/>
      <c r="AA6" s="17"/>
      <c r="AB6" s="17"/>
      <c r="AD6" s="15">
        <v>201</v>
      </c>
      <c r="AE6" s="17">
        <v>630</v>
      </c>
      <c r="AF6" s="17">
        <v>690</v>
      </c>
      <c r="AG6" s="17">
        <v>750</v>
      </c>
      <c r="AI6" s="18">
        <v>51</v>
      </c>
      <c r="AJ6" s="17">
        <v>190</v>
      </c>
      <c r="AK6" s="17">
        <v>240</v>
      </c>
      <c r="AL6" s="17">
        <v>290</v>
      </c>
      <c r="AN6" s="18">
        <v>101</v>
      </c>
      <c r="AO6" s="17">
        <v>240</v>
      </c>
      <c r="AP6" s="17">
        <v>280</v>
      </c>
      <c r="AQ6" s="17">
        <v>320</v>
      </c>
    </row>
    <row r="7" spans="2:43">
      <c r="B7" s="15">
        <v>601</v>
      </c>
      <c r="C7" s="16">
        <v>1680</v>
      </c>
      <c r="D7" s="16">
        <v>2360</v>
      </c>
      <c r="E7" s="16">
        <v>2600</v>
      </c>
      <c r="F7" s="17">
        <v>3080</v>
      </c>
      <c r="G7" s="6"/>
      <c r="H7" s="15">
        <v>151</v>
      </c>
      <c r="I7" s="16">
        <v>680</v>
      </c>
      <c r="J7" s="16">
        <v>785</v>
      </c>
      <c r="K7" s="7">
        <v>895</v>
      </c>
      <c r="L7" s="6"/>
      <c r="M7" s="18">
        <v>301</v>
      </c>
      <c r="N7" s="16">
        <v>810</v>
      </c>
      <c r="O7" s="16">
        <v>890</v>
      </c>
      <c r="P7" s="16">
        <v>970</v>
      </c>
      <c r="Q7" s="6"/>
      <c r="R7" s="15">
        <v>3001</v>
      </c>
      <c r="S7" s="16">
        <v>3600</v>
      </c>
      <c r="T7" s="16">
        <v>4300</v>
      </c>
      <c r="U7" s="16">
        <v>6150</v>
      </c>
      <c r="V7" s="17">
        <v>8200</v>
      </c>
      <c r="X7" s="15">
        <v>1501</v>
      </c>
      <c r="Y7" s="17"/>
      <c r="Z7" s="17"/>
      <c r="AA7" s="17"/>
      <c r="AB7" s="17"/>
      <c r="AD7" s="18">
        <v>301</v>
      </c>
      <c r="AE7" s="17">
        <v>700</v>
      </c>
      <c r="AF7" s="17">
        <v>780</v>
      </c>
      <c r="AG7" s="17">
        <v>860</v>
      </c>
      <c r="AI7" s="15">
        <v>101</v>
      </c>
      <c r="AJ7" s="17">
        <v>260</v>
      </c>
      <c r="AK7" s="17">
        <v>330</v>
      </c>
      <c r="AL7" s="17">
        <v>410</v>
      </c>
      <c r="AN7" s="15">
        <v>201</v>
      </c>
      <c r="AO7" s="17">
        <v>320</v>
      </c>
      <c r="AP7" s="17">
        <v>380</v>
      </c>
      <c r="AQ7" s="17">
        <v>440</v>
      </c>
    </row>
    <row r="8" spans="2:43">
      <c r="B8" s="15">
        <v>701</v>
      </c>
      <c r="C8" s="16">
        <v>1820</v>
      </c>
      <c r="D8" s="16">
        <v>2540</v>
      </c>
      <c r="E8" s="16">
        <v>2800</v>
      </c>
      <c r="F8" s="17">
        <v>3420</v>
      </c>
      <c r="G8" s="6"/>
      <c r="H8" s="15">
        <v>201</v>
      </c>
      <c r="I8" s="16">
        <v>730</v>
      </c>
      <c r="J8" s="16">
        <v>860</v>
      </c>
      <c r="K8" s="19">
        <v>1000</v>
      </c>
      <c r="L8" s="6"/>
      <c r="M8" s="15">
        <v>401</v>
      </c>
      <c r="N8" s="16">
        <v>890</v>
      </c>
      <c r="O8" s="16">
        <v>990</v>
      </c>
      <c r="P8" s="16">
        <v>1090</v>
      </c>
      <c r="Q8" s="6"/>
      <c r="R8" s="15">
        <v>4001</v>
      </c>
      <c r="S8" s="16">
        <v>4200</v>
      </c>
      <c r="T8" s="16">
        <v>5000</v>
      </c>
      <c r="U8" s="16">
        <v>7300</v>
      </c>
      <c r="V8" s="17">
        <v>9800</v>
      </c>
      <c r="X8" s="15">
        <v>2001</v>
      </c>
      <c r="Y8" s="17"/>
      <c r="Z8" s="17"/>
      <c r="AA8" s="17"/>
      <c r="AB8" s="17"/>
      <c r="AD8" s="15">
        <v>401</v>
      </c>
      <c r="AE8" s="17">
        <v>770</v>
      </c>
      <c r="AF8" s="17">
        <v>870</v>
      </c>
      <c r="AG8" s="17">
        <v>970</v>
      </c>
      <c r="AI8" s="18">
        <v>151</v>
      </c>
      <c r="AJ8" s="17">
        <v>330</v>
      </c>
      <c r="AK8" s="17">
        <v>420</v>
      </c>
      <c r="AL8" s="17">
        <v>530</v>
      </c>
      <c r="AN8" s="18">
        <v>301</v>
      </c>
      <c r="AO8" s="17">
        <v>400</v>
      </c>
      <c r="AP8" s="17">
        <v>480</v>
      </c>
      <c r="AQ8" s="17">
        <v>560</v>
      </c>
    </row>
    <row r="9" spans="2:43">
      <c r="B9" s="15">
        <v>801</v>
      </c>
      <c r="C9" s="16">
        <v>1960</v>
      </c>
      <c r="D9" s="16">
        <v>2720</v>
      </c>
      <c r="E9" s="16">
        <v>3000</v>
      </c>
      <c r="F9" s="17">
        <v>3760</v>
      </c>
      <c r="G9" s="6"/>
      <c r="H9" s="15">
        <v>251</v>
      </c>
      <c r="I9" s="16">
        <v>780</v>
      </c>
      <c r="J9" s="16">
        <v>935</v>
      </c>
      <c r="K9" s="19">
        <v>1105</v>
      </c>
      <c r="L9" s="6"/>
      <c r="M9" s="18">
        <v>501</v>
      </c>
      <c r="N9" s="16">
        <v>970</v>
      </c>
      <c r="O9" s="16">
        <v>1090</v>
      </c>
      <c r="P9" s="16">
        <v>1210</v>
      </c>
      <c r="Q9" s="6"/>
      <c r="R9" s="15">
        <v>5001</v>
      </c>
      <c r="S9" s="16">
        <v>4700</v>
      </c>
      <c r="T9" s="16">
        <v>5600</v>
      </c>
      <c r="U9" s="16">
        <v>8350</v>
      </c>
      <c r="V9" s="17">
        <v>11250</v>
      </c>
      <c r="X9" s="15">
        <v>2501</v>
      </c>
      <c r="Y9" s="17"/>
      <c r="Z9" s="17"/>
      <c r="AA9" s="17"/>
      <c r="AB9" s="17"/>
      <c r="AD9" s="18">
        <v>501</v>
      </c>
      <c r="AE9" s="17">
        <v>840</v>
      </c>
      <c r="AF9" s="17">
        <v>960</v>
      </c>
      <c r="AG9" s="17">
        <v>1080</v>
      </c>
      <c r="AI9" s="15">
        <v>201</v>
      </c>
      <c r="AJ9" s="17">
        <v>400</v>
      </c>
      <c r="AK9" s="17">
        <v>510</v>
      </c>
      <c r="AL9" s="17">
        <v>650</v>
      </c>
      <c r="AN9" s="15">
        <v>401</v>
      </c>
      <c r="AO9" s="17">
        <v>480</v>
      </c>
      <c r="AP9" s="17">
        <v>580</v>
      </c>
      <c r="AQ9" s="17">
        <v>680</v>
      </c>
    </row>
    <row r="10" spans="2:43">
      <c r="B10" s="15">
        <v>901</v>
      </c>
      <c r="C10" s="16">
        <v>2100</v>
      </c>
      <c r="D10" s="16">
        <v>2900</v>
      </c>
      <c r="E10" s="16">
        <v>3200</v>
      </c>
      <c r="F10" s="17">
        <v>4100</v>
      </c>
      <c r="G10" s="6"/>
      <c r="H10" s="15">
        <v>301</v>
      </c>
      <c r="I10" s="16">
        <v>880</v>
      </c>
      <c r="J10" s="16">
        <v>1085</v>
      </c>
      <c r="K10" s="19">
        <v>1315</v>
      </c>
      <c r="L10" s="6"/>
      <c r="M10" s="15">
        <v>601</v>
      </c>
      <c r="N10" s="16">
        <v>1050</v>
      </c>
      <c r="O10" s="16">
        <v>1190</v>
      </c>
      <c r="P10" s="16">
        <v>1330</v>
      </c>
      <c r="Q10" s="6"/>
      <c r="R10" s="15">
        <v>6001</v>
      </c>
      <c r="S10" s="16">
        <v>5200</v>
      </c>
      <c r="T10" s="16">
        <v>6200</v>
      </c>
      <c r="U10" s="16">
        <v>9400</v>
      </c>
      <c r="V10" s="17">
        <v>12700</v>
      </c>
      <c r="X10" s="15">
        <v>3001</v>
      </c>
      <c r="Y10" s="17"/>
      <c r="Z10" s="17"/>
      <c r="AA10" s="17"/>
      <c r="AB10" s="17"/>
      <c r="AD10" s="15">
        <v>601</v>
      </c>
      <c r="AE10" s="17">
        <v>910</v>
      </c>
      <c r="AF10" s="17">
        <v>1050</v>
      </c>
      <c r="AG10" s="17">
        <v>1190</v>
      </c>
      <c r="AI10" s="18">
        <v>251</v>
      </c>
      <c r="AJ10" s="17">
        <v>470</v>
      </c>
      <c r="AK10" s="17">
        <v>600</v>
      </c>
      <c r="AL10" s="17">
        <v>770</v>
      </c>
      <c r="AN10" s="18">
        <v>501</v>
      </c>
      <c r="AO10" s="17">
        <v>560</v>
      </c>
      <c r="AP10" s="17">
        <v>680</v>
      </c>
      <c r="AQ10" s="17">
        <v>800</v>
      </c>
    </row>
    <row r="11" spans="2:43">
      <c r="B11" s="15">
        <v>1001</v>
      </c>
      <c r="C11" s="16">
        <v>2400</v>
      </c>
      <c r="D11" s="16">
        <v>3300</v>
      </c>
      <c r="E11" s="16">
        <v>3650</v>
      </c>
      <c r="F11" s="17">
        <v>4900</v>
      </c>
      <c r="G11" s="6"/>
      <c r="H11" s="15">
        <v>401</v>
      </c>
      <c r="I11" s="16">
        <v>980</v>
      </c>
      <c r="J11" s="16">
        <v>1235</v>
      </c>
      <c r="K11" s="19">
        <v>1525</v>
      </c>
      <c r="L11" s="6"/>
      <c r="M11" s="18">
        <v>701</v>
      </c>
      <c r="N11" s="16">
        <v>1130</v>
      </c>
      <c r="O11" s="16">
        <v>1290</v>
      </c>
      <c r="P11" s="16">
        <v>1450</v>
      </c>
      <c r="Q11" s="6"/>
      <c r="R11" s="15">
        <v>7001</v>
      </c>
      <c r="S11" s="16">
        <v>5700</v>
      </c>
      <c r="T11" s="16">
        <v>6800</v>
      </c>
      <c r="U11" s="16">
        <v>10450</v>
      </c>
      <c r="V11" s="17">
        <v>14150</v>
      </c>
      <c r="X11" s="15">
        <v>3501</v>
      </c>
      <c r="Y11" s="17"/>
      <c r="Z11" s="17"/>
      <c r="AA11" s="17"/>
      <c r="AB11" s="17"/>
      <c r="AD11" s="18">
        <v>701</v>
      </c>
      <c r="AE11" s="17">
        <v>980</v>
      </c>
      <c r="AF11" s="17">
        <v>1140</v>
      </c>
      <c r="AG11" s="17">
        <v>1300</v>
      </c>
      <c r="AI11" s="15">
        <v>301</v>
      </c>
      <c r="AJ11" s="17">
        <v>540</v>
      </c>
      <c r="AK11" s="17">
        <v>690</v>
      </c>
      <c r="AL11" s="17">
        <v>890</v>
      </c>
      <c r="AN11" s="15">
        <v>601</v>
      </c>
      <c r="AO11" s="17">
        <v>640</v>
      </c>
      <c r="AP11" s="17">
        <v>780</v>
      </c>
      <c r="AQ11" s="17">
        <v>920</v>
      </c>
    </row>
    <row r="12" spans="2:43">
      <c r="B12" s="15">
        <v>1251</v>
      </c>
      <c r="C12" s="16">
        <v>2700</v>
      </c>
      <c r="D12" s="16">
        <v>3700</v>
      </c>
      <c r="E12" s="16">
        <v>4100</v>
      </c>
      <c r="F12" s="17">
        <v>5700</v>
      </c>
      <c r="G12" s="6"/>
      <c r="H12" s="15">
        <v>501</v>
      </c>
      <c r="I12" s="16">
        <v>1080</v>
      </c>
      <c r="J12" s="16">
        <v>1385</v>
      </c>
      <c r="K12" s="19">
        <v>1735</v>
      </c>
      <c r="L12" s="6"/>
      <c r="M12" s="15">
        <v>801</v>
      </c>
      <c r="N12" s="16">
        <v>1210</v>
      </c>
      <c r="O12" s="16">
        <v>1390</v>
      </c>
      <c r="P12" s="16">
        <v>1570</v>
      </c>
      <c r="Q12" s="6"/>
      <c r="R12" s="15">
        <v>8001</v>
      </c>
      <c r="S12" s="16">
        <v>6200</v>
      </c>
      <c r="T12" s="16">
        <v>7400</v>
      </c>
      <c r="U12" s="16">
        <v>11500</v>
      </c>
      <c r="V12" s="17">
        <v>15600</v>
      </c>
      <c r="X12" s="15">
        <v>4001</v>
      </c>
      <c r="Y12" s="17"/>
      <c r="Z12" s="17"/>
      <c r="AA12" s="17"/>
      <c r="AB12" s="17"/>
      <c r="AD12" s="15">
        <v>801</v>
      </c>
      <c r="AE12" s="17">
        <v>1050</v>
      </c>
      <c r="AF12" s="17">
        <v>1230</v>
      </c>
      <c r="AG12" s="17">
        <v>1410</v>
      </c>
      <c r="AI12" s="18">
        <v>351</v>
      </c>
      <c r="AJ12" s="17">
        <v>610</v>
      </c>
      <c r="AK12" s="17">
        <v>780</v>
      </c>
      <c r="AL12" s="17">
        <v>1010</v>
      </c>
      <c r="AN12" s="18">
        <v>701</v>
      </c>
      <c r="AO12" s="17">
        <v>720</v>
      </c>
      <c r="AP12" s="17">
        <v>880</v>
      </c>
      <c r="AQ12" s="17">
        <v>1040</v>
      </c>
    </row>
    <row r="13" spans="2:43">
      <c r="B13" s="15">
        <v>1501</v>
      </c>
      <c r="C13" s="16">
        <v>3000</v>
      </c>
      <c r="D13" s="16">
        <v>4100</v>
      </c>
      <c r="E13" s="16">
        <v>4550</v>
      </c>
      <c r="F13" s="17">
        <v>6500</v>
      </c>
      <c r="G13" s="6"/>
      <c r="H13" s="15">
        <v>601</v>
      </c>
      <c r="I13" s="16">
        <v>1180</v>
      </c>
      <c r="J13" s="16">
        <v>1535</v>
      </c>
      <c r="K13" s="19">
        <v>1945</v>
      </c>
      <c r="L13" s="6"/>
      <c r="M13" s="18">
        <v>901</v>
      </c>
      <c r="N13" s="16">
        <v>1290</v>
      </c>
      <c r="O13" s="16">
        <v>1490</v>
      </c>
      <c r="P13" s="16">
        <v>1690</v>
      </c>
      <c r="Q13" s="6"/>
      <c r="R13" s="15">
        <v>9001</v>
      </c>
      <c r="S13" s="16">
        <v>6700</v>
      </c>
      <c r="T13" s="16">
        <v>8000</v>
      </c>
      <c r="U13" s="16">
        <v>12550</v>
      </c>
      <c r="V13" s="17">
        <v>17050</v>
      </c>
      <c r="X13" s="15">
        <v>4501</v>
      </c>
      <c r="Y13" s="17"/>
      <c r="Z13" s="17"/>
      <c r="AA13" s="17"/>
      <c r="AB13" s="17"/>
      <c r="AD13" s="18">
        <v>901</v>
      </c>
      <c r="AE13" s="17">
        <v>1120</v>
      </c>
      <c r="AF13" s="17">
        <v>1320</v>
      </c>
      <c r="AG13" s="17">
        <v>1520</v>
      </c>
      <c r="AI13" s="15">
        <v>401</v>
      </c>
      <c r="AJ13" s="17">
        <v>680</v>
      </c>
      <c r="AK13" s="17">
        <v>870</v>
      </c>
      <c r="AL13" s="17">
        <v>1130</v>
      </c>
      <c r="AN13" s="15">
        <v>801</v>
      </c>
      <c r="AO13" s="17">
        <v>800</v>
      </c>
      <c r="AP13" s="17">
        <v>980</v>
      </c>
      <c r="AQ13" s="17">
        <v>1160</v>
      </c>
    </row>
    <row r="14" spans="2:43">
      <c r="B14" s="15">
        <v>1751</v>
      </c>
      <c r="C14" s="16">
        <v>3300</v>
      </c>
      <c r="D14" s="16">
        <v>4500</v>
      </c>
      <c r="E14" s="16">
        <v>5000</v>
      </c>
      <c r="F14" s="17">
        <v>7300</v>
      </c>
      <c r="G14" s="6"/>
      <c r="H14" s="15">
        <v>701</v>
      </c>
      <c r="I14" s="16">
        <v>1280</v>
      </c>
      <c r="J14" s="16">
        <v>1685</v>
      </c>
      <c r="K14" s="19">
        <v>2155</v>
      </c>
      <c r="L14" s="6"/>
      <c r="M14" s="15">
        <v>1001</v>
      </c>
      <c r="N14" s="16">
        <v>1370</v>
      </c>
      <c r="O14" s="16">
        <v>1590</v>
      </c>
      <c r="P14" s="16">
        <v>1810</v>
      </c>
      <c r="Q14" s="6"/>
      <c r="R14" s="15">
        <v>10001</v>
      </c>
      <c r="S14" s="16">
        <v>7000</v>
      </c>
      <c r="T14" s="16">
        <v>8400</v>
      </c>
      <c r="U14" s="16">
        <v>13250</v>
      </c>
      <c r="V14" s="17">
        <v>18050</v>
      </c>
      <c r="X14" s="15">
        <v>5001</v>
      </c>
      <c r="Y14" s="17"/>
      <c r="Z14" s="17"/>
      <c r="AA14" s="17"/>
      <c r="AB14" s="17"/>
      <c r="AD14" s="15">
        <v>1001</v>
      </c>
      <c r="AE14" s="17">
        <v>1340</v>
      </c>
      <c r="AF14" s="17">
        <v>1590</v>
      </c>
      <c r="AG14" s="17">
        <v>1840</v>
      </c>
      <c r="AI14" s="18">
        <v>451</v>
      </c>
      <c r="AJ14" s="17">
        <v>750</v>
      </c>
      <c r="AK14" s="17">
        <v>960</v>
      </c>
      <c r="AL14" s="17">
        <v>1250</v>
      </c>
      <c r="AN14" s="18">
        <v>901</v>
      </c>
      <c r="AO14" s="17">
        <v>880</v>
      </c>
      <c r="AP14" s="17">
        <v>1080</v>
      </c>
      <c r="AQ14" s="17">
        <v>1280</v>
      </c>
    </row>
    <row r="15" spans="2:43">
      <c r="B15" s="15">
        <v>2001</v>
      </c>
      <c r="C15" s="16">
        <v>3800</v>
      </c>
      <c r="D15" s="16">
        <v>5200</v>
      </c>
      <c r="E15" s="16">
        <v>5800</v>
      </c>
      <c r="F15" s="17">
        <v>8800</v>
      </c>
      <c r="G15" s="6"/>
      <c r="H15" s="15">
        <v>801</v>
      </c>
      <c r="I15" s="16">
        <v>1380</v>
      </c>
      <c r="J15" s="16">
        <v>1835</v>
      </c>
      <c r="K15" s="19">
        <v>2365</v>
      </c>
      <c r="L15" s="6"/>
      <c r="M15" s="18">
        <v>1101</v>
      </c>
      <c r="N15" s="16">
        <v>1450</v>
      </c>
      <c r="O15" s="16">
        <v>1690</v>
      </c>
      <c r="P15" s="16">
        <v>1930</v>
      </c>
      <c r="Q15" s="6"/>
      <c r="R15" s="20">
        <v>11001</v>
      </c>
      <c r="S15" s="16">
        <v>7300</v>
      </c>
      <c r="T15" s="16">
        <v>8800</v>
      </c>
      <c r="U15" s="16">
        <v>13950</v>
      </c>
      <c r="V15" s="17">
        <v>19050</v>
      </c>
      <c r="X15" s="15">
        <v>5501</v>
      </c>
      <c r="Y15" s="17"/>
      <c r="Z15" s="17"/>
      <c r="AA15" s="17"/>
      <c r="AB15" s="17"/>
      <c r="AD15" s="15">
        <v>1251</v>
      </c>
      <c r="AE15" s="17">
        <v>1560</v>
      </c>
      <c r="AF15" s="17">
        <v>1860</v>
      </c>
      <c r="AG15" s="17">
        <v>2160</v>
      </c>
      <c r="AI15" s="15">
        <v>501</v>
      </c>
      <c r="AJ15" s="17">
        <v>820</v>
      </c>
      <c r="AK15" s="17">
        <v>1050</v>
      </c>
      <c r="AL15" s="17">
        <v>1370</v>
      </c>
      <c r="AN15" s="15">
        <v>1001</v>
      </c>
      <c r="AO15" s="17">
        <v>960</v>
      </c>
      <c r="AP15" s="17">
        <v>1180</v>
      </c>
      <c r="AQ15" s="17">
        <v>1400</v>
      </c>
    </row>
    <row r="16" spans="2:43">
      <c r="B16" s="15">
        <v>2501</v>
      </c>
      <c r="C16" s="16">
        <v>4300</v>
      </c>
      <c r="D16" s="16">
        <v>5900</v>
      </c>
      <c r="E16" s="16">
        <v>6600</v>
      </c>
      <c r="F16" s="17">
        <v>10300</v>
      </c>
      <c r="G16" s="6"/>
      <c r="H16" s="15">
        <v>901</v>
      </c>
      <c r="I16" s="16">
        <v>1480</v>
      </c>
      <c r="J16" s="16">
        <v>1985</v>
      </c>
      <c r="K16" s="19">
        <v>2575</v>
      </c>
      <c r="L16" s="6"/>
      <c r="M16" s="15">
        <v>1201</v>
      </c>
      <c r="N16" s="16">
        <v>1530</v>
      </c>
      <c r="O16" s="16">
        <v>1790</v>
      </c>
      <c r="P16" s="16">
        <v>2050</v>
      </c>
      <c r="Q16" s="6"/>
      <c r="R16" s="20">
        <v>12001</v>
      </c>
      <c r="S16" s="16">
        <v>7600</v>
      </c>
      <c r="T16" s="16">
        <v>9200</v>
      </c>
      <c r="U16" s="16">
        <v>14650</v>
      </c>
      <c r="V16" s="17">
        <v>20050</v>
      </c>
      <c r="X16" s="20">
        <v>6001</v>
      </c>
      <c r="Y16" s="17"/>
      <c r="Z16" s="17"/>
      <c r="AA16" s="17"/>
      <c r="AB16" s="17"/>
      <c r="AD16" s="20">
        <v>1501</v>
      </c>
      <c r="AE16" s="17">
        <v>1780</v>
      </c>
      <c r="AF16" s="17">
        <v>2130</v>
      </c>
      <c r="AG16" s="17">
        <v>2480</v>
      </c>
      <c r="AI16" s="18">
        <v>551</v>
      </c>
      <c r="AJ16" s="17">
        <v>890</v>
      </c>
      <c r="AK16" s="17">
        <v>1140</v>
      </c>
      <c r="AL16" s="17">
        <v>1490</v>
      </c>
      <c r="AN16" s="18">
        <v>1101</v>
      </c>
      <c r="AO16" s="17">
        <v>1040</v>
      </c>
      <c r="AP16" s="17">
        <v>1280</v>
      </c>
      <c r="AQ16" s="17">
        <v>1520</v>
      </c>
    </row>
    <row r="17" spans="1:43">
      <c r="B17" s="15">
        <v>3001</v>
      </c>
      <c r="C17" s="16">
        <v>4800</v>
      </c>
      <c r="D17" s="16">
        <v>6600</v>
      </c>
      <c r="E17" s="16">
        <v>7400</v>
      </c>
      <c r="F17" s="17">
        <v>11800</v>
      </c>
      <c r="G17" s="6"/>
      <c r="H17" s="15">
        <v>1001</v>
      </c>
      <c r="I17" s="16">
        <v>1700</v>
      </c>
      <c r="J17" s="16">
        <v>2255</v>
      </c>
      <c r="K17" s="19">
        <v>2945</v>
      </c>
      <c r="L17" s="6"/>
      <c r="M17" s="18">
        <v>1301</v>
      </c>
      <c r="N17" s="16">
        <v>1610</v>
      </c>
      <c r="O17" s="16">
        <v>1890</v>
      </c>
      <c r="P17" s="16">
        <v>2170</v>
      </c>
      <c r="Q17" s="6"/>
      <c r="R17" s="20">
        <v>13001</v>
      </c>
      <c r="S17" s="16">
        <v>7900</v>
      </c>
      <c r="T17" s="16">
        <v>9600</v>
      </c>
      <c r="U17" s="16">
        <v>15350</v>
      </c>
      <c r="V17" s="17">
        <v>21050</v>
      </c>
      <c r="X17" s="20">
        <v>6501</v>
      </c>
      <c r="Y17" s="17"/>
      <c r="Z17" s="17"/>
      <c r="AA17" s="17"/>
      <c r="AB17" s="17"/>
      <c r="AD17" s="20">
        <v>1751</v>
      </c>
      <c r="AE17" s="17">
        <v>2000</v>
      </c>
      <c r="AF17" s="17">
        <v>2400</v>
      </c>
      <c r="AG17" s="17">
        <v>2800</v>
      </c>
      <c r="AI17" s="15">
        <v>601</v>
      </c>
      <c r="AJ17" s="17">
        <v>960</v>
      </c>
      <c r="AK17" s="17">
        <v>1230</v>
      </c>
      <c r="AL17" s="17">
        <v>1610</v>
      </c>
      <c r="AN17" s="15">
        <v>1201</v>
      </c>
      <c r="AO17" s="17">
        <v>1120</v>
      </c>
      <c r="AP17" s="17">
        <v>1380</v>
      </c>
      <c r="AQ17" s="17">
        <v>1640</v>
      </c>
    </row>
    <row r="18" spans="1:43">
      <c r="B18" s="15">
        <v>3501</v>
      </c>
      <c r="C18" s="16">
        <v>5300</v>
      </c>
      <c r="D18" s="16">
        <v>7300</v>
      </c>
      <c r="E18" s="16">
        <v>8200</v>
      </c>
      <c r="F18" s="17">
        <v>13300</v>
      </c>
      <c r="G18" s="6"/>
      <c r="H18" s="15">
        <v>1251</v>
      </c>
      <c r="I18" s="16">
        <v>1920</v>
      </c>
      <c r="J18" s="16">
        <v>2525</v>
      </c>
      <c r="K18" s="19">
        <v>3315</v>
      </c>
      <c r="L18" s="6"/>
      <c r="M18" s="15">
        <v>1401</v>
      </c>
      <c r="N18" s="16">
        <v>1690</v>
      </c>
      <c r="O18" s="16">
        <v>1990</v>
      </c>
      <c r="P18" s="16">
        <v>2290</v>
      </c>
      <c r="Q18" s="6"/>
      <c r="R18" s="20">
        <v>14001</v>
      </c>
      <c r="S18" s="16">
        <v>8200</v>
      </c>
      <c r="T18" s="16">
        <v>10000</v>
      </c>
      <c r="U18" s="16">
        <v>16050</v>
      </c>
      <c r="V18" s="17">
        <v>22050</v>
      </c>
      <c r="X18" s="20">
        <v>7001</v>
      </c>
      <c r="Y18" s="17"/>
      <c r="Z18" s="17"/>
      <c r="AA18" s="17"/>
      <c r="AB18" s="17"/>
      <c r="AD18" s="20">
        <v>2001</v>
      </c>
      <c r="AE18" s="17"/>
      <c r="AF18" s="17"/>
      <c r="AG18" s="17"/>
      <c r="AI18" s="18">
        <v>651</v>
      </c>
      <c r="AJ18" s="17">
        <v>1030</v>
      </c>
      <c r="AK18" s="17">
        <v>1320</v>
      </c>
      <c r="AL18" s="17">
        <v>1730</v>
      </c>
      <c r="AN18" s="18">
        <v>1301</v>
      </c>
      <c r="AO18" s="17">
        <v>1200</v>
      </c>
      <c r="AP18" s="17">
        <v>1480</v>
      </c>
      <c r="AQ18" s="17">
        <v>1760</v>
      </c>
    </row>
    <row r="19" spans="1:43">
      <c r="B19" s="15">
        <v>4001</v>
      </c>
      <c r="C19" s="16">
        <v>5800</v>
      </c>
      <c r="D19" s="16">
        <v>8000</v>
      </c>
      <c r="E19" s="16">
        <v>9000</v>
      </c>
      <c r="F19" s="17">
        <v>14800</v>
      </c>
      <c r="G19" s="6"/>
      <c r="H19" s="15">
        <v>1501</v>
      </c>
      <c r="I19" s="16">
        <v>2140</v>
      </c>
      <c r="J19" s="16">
        <v>2795</v>
      </c>
      <c r="K19" s="19">
        <v>3685</v>
      </c>
      <c r="L19" s="6"/>
      <c r="M19" s="18">
        <v>1501</v>
      </c>
      <c r="N19" s="16">
        <v>1770</v>
      </c>
      <c r="O19" s="16">
        <v>2090</v>
      </c>
      <c r="P19" s="16">
        <v>2410</v>
      </c>
      <c r="Q19" s="6"/>
      <c r="R19" s="20">
        <v>15001</v>
      </c>
      <c r="S19" s="16">
        <v>8500</v>
      </c>
      <c r="T19" s="16">
        <v>10400</v>
      </c>
      <c r="U19" s="16">
        <v>16750</v>
      </c>
      <c r="V19" s="17">
        <v>23050</v>
      </c>
      <c r="X19" s="20">
        <v>7501</v>
      </c>
      <c r="Y19" s="17"/>
      <c r="Z19" s="17"/>
      <c r="AA19" s="17"/>
      <c r="AB19" s="17"/>
      <c r="AD19" s="20"/>
      <c r="AE19" s="17"/>
      <c r="AF19" s="17"/>
      <c r="AG19" s="17"/>
      <c r="AI19" s="15">
        <v>701</v>
      </c>
      <c r="AJ19" s="17">
        <v>1100</v>
      </c>
      <c r="AK19" s="17">
        <v>1410</v>
      </c>
      <c r="AL19" s="17">
        <v>1850</v>
      </c>
      <c r="AN19" s="15">
        <v>1401</v>
      </c>
      <c r="AO19" s="17">
        <v>1280</v>
      </c>
      <c r="AP19" s="17">
        <v>1580</v>
      </c>
      <c r="AQ19" s="17">
        <v>1880</v>
      </c>
    </row>
    <row r="20" spans="1:43">
      <c r="B20" s="15">
        <v>4501</v>
      </c>
      <c r="C20" s="16">
        <v>6300</v>
      </c>
      <c r="D20" s="16">
        <v>8700</v>
      </c>
      <c r="E20" s="16">
        <v>9800</v>
      </c>
      <c r="F20" s="17">
        <v>16300</v>
      </c>
      <c r="G20" s="6"/>
      <c r="H20" s="15">
        <v>1751</v>
      </c>
      <c r="I20" s="16">
        <v>2360</v>
      </c>
      <c r="J20" s="16">
        <v>3065</v>
      </c>
      <c r="K20" s="19">
        <v>4055</v>
      </c>
      <c r="L20" s="6"/>
      <c r="M20" s="15">
        <v>1601</v>
      </c>
      <c r="N20" s="16">
        <v>1850</v>
      </c>
      <c r="O20" s="16">
        <v>2190</v>
      </c>
      <c r="P20" s="16">
        <v>2530</v>
      </c>
      <c r="Q20" s="6"/>
      <c r="R20" s="20">
        <v>16001</v>
      </c>
      <c r="S20" s="16">
        <v>8800</v>
      </c>
      <c r="T20" s="16">
        <v>10800</v>
      </c>
      <c r="U20" s="16">
        <v>17450</v>
      </c>
      <c r="V20" s="17">
        <v>24050</v>
      </c>
      <c r="X20" s="20">
        <v>8001</v>
      </c>
      <c r="Y20" s="17"/>
      <c r="Z20" s="17"/>
      <c r="AA20" s="17"/>
      <c r="AB20" s="17"/>
      <c r="AD20" s="20"/>
      <c r="AE20" s="17"/>
      <c r="AF20" s="17"/>
      <c r="AG20" s="17"/>
      <c r="AI20" s="18">
        <v>751</v>
      </c>
      <c r="AJ20" s="17">
        <v>1170</v>
      </c>
      <c r="AK20" s="17">
        <v>1500</v>
      </c>
      <c r="AL20" s="17">
        <v>1970</v>
      </c>
      <c r="AN20" s="18">
        <v>1501</v>
      </c>
      <c r="AO20" s="17">
        <v>1360</v>
      </c>
      <c r="AP20" s="17">
        <v>1680</v>
      </c>
      <c r="AQ20" s="17">
        <v>2000</v>
      </c>
    </row>
    <row r="21" spans="1:43">
      <c r="B21" s="15">
        <v>5001</v>
      </c>
      <c r="C21" s="16">
        <v>6800</v>
      </c>
      <c r="D21" s="16">
        <v>9400</v>
      </c>
      <c r="E21" s="16">
        <v>10600</v>
      </c>
      <c r="F21" s="17">
        <v>17800</v>
      </c>
      <c r="G21" s="6"/>
      <c r="H21" s="15">
        <v>2001</v>
      </c>
      <c r="I21" s="6"/>
      <c r="J21" s="6"/>
      <c r="K21" s="6"/>
      <c r="L21" s="6"/>
      <c r="M21" s="18">
        <v>1701</v>
      </c>
      <c r="N21" s="16">
        <v>1930</v>
      </c>
      <c r="O21" s="16">
        <v>2290</v>
      </c>
      <c r="P21" s="16">
        <v>2650</v>
      </c>
      <c r="Q21" s="6"/>
      <c r="R21" s="20">
        <v>17001</v>
      </c>
      <c r="S21" s="16">
        <v>9100</v>
      </c>
      <c r="T21" s="16">
        <v>11200</v>
      </c>
      <c r="U21" s="16">
        <v>18150</v>
      </c>
      <c r="V21" s="17">
        <v>25050</v>
      </c>
      <c r="X21" s="20">
        <v>8501</v>
      </c>
      <c r="Y21" s="17"/>
      <c r="Z21" s="17"/>
      <c r="AA21" s="17"/>
      <c r="AB21" s="17"/>
      <c r="AD21" s="20"/>
      <c r="AE21" s="17"/>
      <c r="AF21" s="17"/>
      <c r="AG21" s="17"/>
      <c r="AI21" s="15">
        <v>801</v>
      </c>
      <c r="AJ21" s="17">
        <v>1240</v>
      </c>
      <c r="AK21" s="17">
        <v>1590</v>
      </c>
      <c r="AL21" s="17">
        <v>2090</v>
      </c>
      <c r="AN21" s="15">
        <v>1601</v>
      </c>
      <c r="AO21" s="17">
        <v>1440</v>
      </c>
      <c r="AP21" s="17">
        <v>1780</v>
      </c>
      <c r="AQ21" s="17">
        <v>2120</v>
      </c>
    </row>
    <row r="22" spans="1:43">
      <c r="B22" s="15">
        <v>5501</v>
      </c>
      <c r="C22" s="16">
        <v>7300</v>
      </c>
      <c r="D22" s="16">
        <v>10100</v>
      </c>
      <c r="E22" s="16">
        <v>11400</v>
      </c>
      <c r="F22" s="17">
        <v>19300</v>
      </c>
      <c r="G22" s="6"/>
      <c r="H22" s="6"/>
      <c r="I22" s="6"/>
      <c r="J22" s="6"/>
      <c r="K22" s="6"/>
      <c r="L22" s="6"/>
      <c r="M22" s="15">
        <v>1801</v>
      </c>
      <c r="N22" s="16">
        <v>2010</v>
      </c>
      <c r="O22" s="16">
        <v>2390</v>
      </c>
      <c r="P22" s="16">
        <v>2770</v>
      </c>
      <c r="Q22" s="6"/>
      <c r="R22" s="20">
        <v>18001</v>
      </c>
      <c r="S22" s="16">
        <v>9400</v>
      </c>
      <c r="T22" s="16">
        <v>11600</v>
      </c>
      <c r="U22" s="16">
        <v>18850</v>
      </c>
      <c r="V22" s="17">
        <v>26050</v>
      </c>
      <c r="X22" s="20">
        <v>9001</v>
      </c>
      <c r="Y22" s="17"/>
      <c r="Z22" s="17"/>
      <c r="AA22" s="17"/>
      <c r="AB22" s="17"/>
      <c r="AD22" s="20"/>
      <c r="AE22" s="17"/>
      <c r="AF22" s="17"/>
      <c r="AG22" s="17"/>
      <c r="AI22" s="18">
        <v>851</v>
      </c>
      <c r="AJ22" s="17">
        <v>1310</v>
      </c>
      <c r="AK22" s="17">
        <v>1680</v>
      </c>
      <c r="AL22" s="17">
        <v>2210</v>
      </c>
      <c r="AN22" s="18">
        <v>1701</v>
      </c>
      <c r="AO22" s="17">
        <v>1520</v>
      </c>
      <c r="AP22" s="17">
        <v>1880</v>
      </c>
      <c r="AQ22" s="17">
        <v>2240</v>
      </c>
    </row>
    <row r="23" spans="1:43">
      <c r="A23" s="8"/>
      <c r="B23" s="15">
        <v>6001</v>
      </c>
      <c r="C23" s="16">
        <v>8100</v>
      </c>
      <c r="D23" s="16">
        <v>11200</v>
      </c>
      <c r="E23" s="16">
        <v>12700</v>
      </c>
      <c r="F23" s="17">
        <v>21400</v>
      </c>
      <c r="G23" s="6"/>
      <c r="H23" s="6"/>
      <c r="I23" s="6"/>
      <c r="J23" s="6"/>
      <c r="K23" s="6"/>
      <c r="L23" s="6"/>
      <c r="M23" s="18">
        <v>1901</v>
      </c>
      <c r="N23" s="16">
        <v>2090</v>
      </c>
      <c r="O23" s="16">
        <v>2490</v>
      </c>
      <c r="P23" s="16">
        <v>2890</v>
      </c>
      <c r="Q23" s="6"/>
      <c r="R23" s="20">
        <v>19001</v>
      </c>
      <c r="S23" s="16">
        <v>9700</v>
      </c>
      <c r="T23" s="16">
        <v>12000</v>
      </c>
      <c r="U23" s="16">
        <v>19550</v>
      </c>
      <c r="V23" s="17">
        <v>27050</v>
      </c>
      <c r="X23" s="20">
        <v>9501</v>
      </c>
      <c r="Y23" s="17"/>
      <c r="Z23" s="17"/>
      <c r="AA23" s="17"/>
      <c r="AB23" s="17"/>
      <c r="AD23" s="20"/>
      <c r="AE23" s="17"/>
      <c r="AF23" s="17"/>
      <c r="AG23" s="17"/>
      <c r="AI23" s="15">
        <v>901</v>
      </c>
      <c r="AJ23" s="17">
        <v>1380</v>
      </c>
      <c r="AK23" s="17">
        <v>1770</v>
      </c>
      <c r="AL23" s="17">
        <v>2330</v>
      </c>
      <c r="AN23" s="15">
        <v>1801</v>
      </c>
      <c r="AO23" s="17">
        <v>1600</v>
      </c>
      <c r="AP23" s="17">
        <v>1980</v>
      </c>
      <c r="AQ23" s="17">
        <v>2360</v>
      </c>
    </row>
    <row r="24" spans="1:43">
      <c r="A24" s="8"/>
      <c r="B24" s="15">
        <v>7001</v>
      </c>
      <c r="C24" s="16">
        <v>8900</v>
      </c>
      <c r="D24" s="16">
        <v>12300</v>
      </c>
      <c r="E24" s="16">
        <v>14000</v>
      </c>
      <c r="F24" s="17">
        <v>23500</v>
      </c>
      <c r="G24" s="6"/>
      <c r="H24" s="6"/>
      <c r="I24" s="6"/>
      <c r="J24" s="6"/>
      <c r="K24" s="6"/>
      <c r="L24" s="6"/>
      <c r="M24" s="15">
        <v>2001</v>
      </c>
      <c r="N24" s="6"/>
      <c r="O24" s="6"/>
      <c r="P24" s="6"/>
      <c r="Q24" s="6"/>
      <c r="R24" s="20">
        <v>20001</v>
      </c>
      <c r="S24" s="16">
        <v>10000</v>
      </c>
      <c r="T24" s="16">
        <v>12400</v>
      </c>
      <c r="U24" s="16">
        <v>20250</v>
      </c>
      <c r="V24" s="17">
        <v>28050</v>
      </c>
      <c r="X24" s="20">
        <v>10001</v>
      </c>
      <c r="Y24" s="17"/>
      <c r="Z24" s="17"/>
      <c r="AA24" s="17"/>
      <c r="AB24" s="17"/>
      <c r="AD24" s="20"/>
      <c r="AE24" s="17"/>
      <c r="AF24" s="17"/>
      <c r="AG24" s="17"/>
      <c r="AI24" s="18">
        <v>951</v>
      </c>
      <c r="AJ24" s="17">
        <v>1450</v>
      </c>
      <c r="AK24" s="17">
        <v>1860</v>
      </c>
      <c r="AL24" s="17">
        <v>2450</v>
      </c>
      <c r="AN24" s="18">
        <v>1901</v>
      </c>
      <c r="AO24" s="17">
        <v>1680</v>
      </c>
      <c r="AP24" s="17">
        <v>2080</v>
      </c>
      <c r="AQ24" s="17">
        <v>2480</v>
      </c>
    </row>
    <row r="25" spans="1:43">
      <c r="A25" s="8"/>
      <c r="B25" s="15">
        <v>8001</v>
      </c>
      <c r="C25" s="16">
        <v>9700</v>
      </c>
      <c r="D25" s="16">
        <v>13400</v>
      </c>
      <c r="E25" s="16">
        <v>15300</v>
      </c>
      <c r="F25" s="17">
        <v>25600</v>
      </c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20">
        <v>21001</v>
      </c>
      <c r="S25" s="16">
        <v>10300</v>
      </c>
      <c r="T25" s="16">
        <v>12800</v>
      </c>
      <c r="U25" s="16">
        <v>20950</v>
      </c>
      <c r="V25" s="17">
        <v>29050</v>
      </c>
      <c r="X25" s="20">
        <v>11001</v>
      </c>
      <c r="Y25" s="17"/>
      <c r="Z25" s="17"/>
      <c r="AA25" s="17"/>
      <c r="AB25" s="17"/>
      <c r="AD25" s="20"/>
      <c r="AE25" s="17"/>
      <c r="AF25" s="17"/>
      <c r="AG25" s="17"/>
      <c r="AI25" s="15">
        <v>1001</v>
      </c>
      <c r="AJ25" s="17">
        <v>1625</v>
      </c>
      <c r="AK25" s="17">
        <v>2085</v>
      </c>
      <c r="AL25" s="17">
        <v>2750</v>
      </c>
      <c r="AN25" s="15">
        <v>2001</v>
      </c>
      <c r="AO25" s="17"/>
      <c r="AP25" s="17"/>
      <c r="AQ25" s="17"/>
    </row>
    <row r="26" spans="1:43">
      <c r="A26" s="8"/>
      <c r="B26" s="15">
        <v>9001</v>
      </c>
      <c r="C26" s="16">
        <v>10500</v>
      </c>
      <c r="D26" s="16">
        <v>14500</v>
      </c>
      <c r="E26" s="16">
        <v>16600</v>
      </c>
      <c r="F26" s="17">
        <v>27700</v>
      </c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18">
        <v>22001</v>
      </c>
      <c r="S26" s="16">
        <v>10600</v>
      </c>
      <c r="T26" s="16">
        <v>13200</v>
      </c>
      <c r="U26" s="16">
        <v>21650</v>
      </c>
      <c r="V26" s="17">
        <v>30050</v>
      </c>
      <c r="X26" s="20">
        <v>12001</v>
      </c>
      <c r="Y26" s="17"/>
      <c r="Z26" s="17"/>
      <c r="AA26" s="17"/>
      <c r="AB26" s="17"/>
      <c r="AD26" s="20"/>
      <c r="AE26" s="17"/>
      <c r="AF26" s="17"/>
      <c r="AG26" s="17"/>
      <c r="AI26" s="18">
        <v>1251</v>
      </c>
      <c r="AJ26" s="17">
        <v>1800</v>
      </c>
      <c r="AK26" s="17">
        <v>2310</v>
      </c>
      <c r="AL26" s="17">
        <v>3050</v>
      </c>
      <c r="AN26" s="18"/>
      <c r="AO26" s="17"/>
      <c r="AP26" s="17"/>
      <c r="AQ26" s="17"/>
    </row>
    <row r="27" spans="1:43">
      <c r="A27" s="8"/>
      <c r="B27" s="15">
        <v>10001</v>
      </c>
      <c r="C27" s="16">
        <v>11300</v>
      </c>
      <c r="D27" s="16">
        <v>15600</v>
      </c>
      <c r="E27" s="16">
        <v>17900</v>
      </c>
      <c r="F27" s="17">
        <v>29800</v>
      </c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18">
        <v>23001</v>
      </c>
      <c r="S27" s="16">
        <v>10900</v>
      </c>
      <c r="T27" s="16">
        <v>13600</v>
      </c>
      <c r="U27" s="16">
        <v>22350</v>
      </c>
      <c r="V27" s="17">
        <v>31050</v>
      </c>
      <c r="X27" s="20">
        <v>13001</v>
      </c>
      <c r="Y27" s="17"/>
      <c r="Z27" s="17"/>
      <c r="AA27" s="17"/>
      <c r="AB27" s="17"/>
      <c r="AD27" s="20"/>
      <c r="AE27" s="17"/>
      <c r="AF27" s="17"/>
      <c r="AG27" s="17"/>
      <c r="AI27" s="18">
        <v>1501</v>
      </c>
      <c r="AJ27" s="17">
        <v>1975</v>
      </c>
      <c r="AK27" s="17">
        <v>2535</v>
      </c>
      <c r="AL27" s="17">
        <v>3350</v>
      </c>
      <c r="AN27" s="18"/>
      <c r="AO27" s="17"/>
      <c r="AP27" s="17"/>
      <c r="AQ27" s="17"/>
    </row>
    <row r="28" spans="1:43">
      <c r="A28" s="8"/>
      <c r="B28" s="20">
        <v>11001</v>
      </c>
      <c r="C28" s="16">
        <v>12100</v>
      </c>
      <c r="D28" s="16">
        <v>16700</v>
      </c>
      <c r="E28" s="16">
        <v>19200</v>
      </c>
      <c r="F28" s="17">
        <v>31900</v>
      </c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18">
        <v>24001</v>
      </c>
      <c r="S28" s="16">
        <v>11200</v>
      </c>
      <c r="T28" s="16">
        <v>14000</v>
      </c>
      <c r="U28" s="16">
        <v>23050</v>
      </c>
      <c r="V28" s="17">
        <v>32050</v>
      </c>
      <c r="X28" s="20">
        <v>14001</v>
      </c>
      <c r="Y28" s="17"/>
      <c r="Z28" s="17"/>
      <c r="AA28" s="17"/>
      <c r="AB28" s="17"/>
      <c r="AD28" s="20"/>
      <c r="AE28" s="17"/>
      <c r="AF28" s="17"/>
      <c r="AG28" s="17"/>
      <c r="AI28" s="15">
        <v>1751</v>
      </c>
      <c r="AJ28" s="17">
        <v>2150</v>
      </c>
      <c r="AK28" s="17">
        <v>2760</v>
      </c>
      <c r="AL28" s="17">
        <v>3650</v>
      </c>
      <c r="AN28" s="15"/>
      <c r="AO28" s="17"/>
      <c r="AP28" s="17"/>
      <c r="AQ28" s="17"/>
    </row>
    <row r="29" spans="1:43">
      <c r="A29" s="8"/>
      <c r="B29" s="20">
        <v>12001</v>
      </c>
      <c r="C29" s="16">
        <v>12900</v>
      </c>
      <c r="D29" s="16">
        <v>17800</v>
      </c>
      <c r="E29" s="16">
        <v>20500</v>
      </c>
      <c r="F29" s="17">
        <v>34000</v>
      </c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18">
        <v>25001</v>
      </c>
      <c r="S29" s="16">
        <v>11500</v>
      </c>
      <c r="T29" s="16">
        <v>14400</v>
      </c>
      <c r="U29" s="16">
        <v>23750</v>
      </c>
      <c r="V29" s="17">
        <v>33050</v>
      </c>
      <c r="X29" s="20">
        <v>15001</v>
      </c>
      <c r="Y29" s="17"/>
      <c r="Z29" s="17"/>
      <c r="AA29" s="17"/>
      <c r="AB29" s="17"/>
      <c r="AD29" s="20"/>
      <c r="AE29" s="17"/>
      <c r="AF29" s="17"/>
      <c r="AG29" s="17"/>
      <c r="AI29" s="18">
        <v>2001</v>
      </c>
      <c r="AJ29" s="17"/>
      <c r="AK29" s="17"/>
      <c r="AL29" s="17"/>
      <c r="AN29" s="18"/>
      <c r="AO29" s="17"/>
      <c r="AP29" s="17"/>
      <c r="AQ29" s="17"/>
    </row>
    <row r="30" spans="1:43">
      <c r="B30" s="20">
        <v>13001</v>
      </c>
      <c r="C30" s="16">
        <v>13700</v>
      </c>
      <c r="D30" s="16">
        <v>18900</v>
      </c>
      <c r="E30" s="16">
        <v>21800</v>
      </c>
      <c r="F30" s="17">
        <v>36100</v>
      </c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18">
        <v>26001</v>
      </c>
      <c r="S30" s="16">
        <v>11800</v>
      </c>
      <c r="T30" s="16">
        <v>14800</v>
      </c>
      <c r="U30" s="16">
        <v>24450</v>
      </c>
      <c r="V30" s="17">
        <v>34050</v>
      </c>
      <c r="X30" s="20">
        <v>16001</v>
      </c>
      <c r="Y30" s="17"/>
      <c r="Z30" s="17"/>
      <c r="AA30" s="17"/>
      <c r="AB30" s="17"/>
      <c r="AD30" s="20"/>
      <c r="AE30" s="17"/>
      <c r="AF30" s="17"/>
      <c r="AG30" s="17"/>
    </row>
    <row r="31" spans="1:43">
      <c r="B31" s="20">
        <v>14001</v>
      </c>
      <c r="C31" s="16">
        <v>14500</v>
      </c>
      <c r="D31" s="16">
        <v>20000</v>
      </c>
      <c r="E31" s="16">
        <v>23100</v>
      </c>
      <c r="F31" s="17">
        <v>38200</v>
      </c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18">
        <v>27001</v>
      </c>
      <c r="S31" s="16">
        <v>12100</v>
      </c>
      <c r="T31" s="16">
        <v>15200</v>
      </c>
      <c r="U31" s="16">
        <v>25150</v>
      </c>
      <c r="V31" s="17">
        <v>35050</v>
      </c>
      <c r="X31" s="20">
        <v>17001</v>
      </c>
      <c r="Y31" s="17"/>
      <c r="Z31" s="17"/>
      <c r="AA31" s="17"/>
      <c r="AB31" s="17"/>
      <c r="AD31" s="20"/>
      <c r="AE31" s="17"/>
      <c r="AF31" s="17"/>
      <c r="AG31" s="17"/>
    </row>
    <row r="32" spans="1:43">
      <c r="B32" s="20">
        <v>15001</v>
      </c>
      <c r="C32" s="16">
        <v>15300</v>
      </c>
      <c r="D32" s="16">
        <v>21100</v>
      </c>
      <c r="E32" s="16">
        <v>24400</v>
      </c>
      <c r="F32" s="17">
        <v>40300</v>
      </c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18">
        <v>28001</v>
      </c>
      <c r="S32" s="16">
        <v>12400</v>
      </c>
      <c r="T32" s="16">
        <v>15600</v>
      </c>
      <c r="U32" s="16">
        <v>25850</v>
      </c>
      <c r="V32" s="17">
        <v>36050</v>
      </c>
      <c r="X32" s="20">
        <v>18001</v>
      </c>
      <c r="Y32" s="17"/>
      <c r="Z32" s="17"/>
      <c r="AA32" s="17"/>
      <c r="AB32" s="17"/>
      <c r="AD32" s="20"/>
      <c r="AE32" s="17"/>
      <c r="AF32" s="17"/>
      <c r="AG32" s="17"/>
    </row>
    <row r="33" spans="2:33">
      <c r="B33" s="20">
        <v>16001</v>
      </c>
      <c r="C33" s="16">
        <v>16100</v>
      </c>
      <c r="D33" s="16">
        <v>22200</v>
      </c>
      <c r="E33" s="16">
        <v>25700</v>
      </c>
      <c r="F33" s="17">
        <v>42400</v>
      </c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18">
        <v>29001</v>
      </c>
      <c r="S33" s="16">
        <v>12700</v>
      </c>
      <c r="T33" s="16">
        <v>16000</v>
      </c>
      <c r="U33" s="16">
        <v>26550</v>
      </c>
      <c r="V33" s="17">
        <v>37050</v>
      </c>
      <c r="X33" s="20">
        <v>19001</v>
      </c>
      <c r="Y33" s="17"/>
      <c r="Z33" s="17"/>
      <c r="AA33" s="17"/>
      <c r="AB33" s="17"/>
      <c r="AD33" s="20"/>
      <c r="AE33" s="17"/>
      <c r="AF33" s="17"/>
      <c r="AG33" s="17"/>
    </row>
    <row r="34" spans="2:33">
      <c r="B34" s="20">
        <v>17001</v>
      </c>
      <c r="C34" s="16">
        <v>16900</v>
      </c>
      <c r="D34" s="16">
        <v>23300</v>
      </c>
      <c r="E34" s="16">
        <v>27000</v>
      </c>
      <c r="F34" s="17">
        <v>44500</v>
      </c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18">
        <v>30001</v>
      </c>
      <c r="S34" s="6"/>
      <c r="T34" s="6"/>
      <c r="U34" s="6"/>
      <c r="V34" s="17"/>
      <c r="X34" s="20">
        <v>20001</v>
      </c>
      <c r="Y34" s="17"/>
      <c r="Z34" s="17"/>
      <c r="AA34" s="17"/>
      <c r="AB34" s="17"/>
      <c r="AD34" s="20"/>
      <c r="AE34" s="17"/>
      <c r="AF34" s="17"/>
      <c r="AG34" s="17"/>
    </row>
    <row r="35" spans="2:33">
      <c r="B35" s="20">
        <v>18001</v>
      </c>
      <c r="C35" s="16">
        <v>17700</v>
      </c>
      <c r="D35" s="16">
        <v>24400</v>
      </c>
      <c r="E35" s="16">
        <v>28300</v>
      </c>
      <c r="F35" s="17">
        <v>46600</v>
      </c>
      <c r="G35" s="6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X35" s="20">
        <v>21001</v>
      </c>
      <c r="Y35" s="17"/>
      <c r="Z35" s="17"/>
      <c r="AA35" s="17"/>
      <c r="AB35" s="17"/>
      <c r="AD35" s="20"/>
      <c r="AE35" s="17"/>
      <c r="AF35" s="17"/>
      <c r="AG35" s="17"/>
    </row>
    <row r="36" spans="2:33">
      <c r="B36" s="20">
        <v>19001</v>
      </c>
      <c r="C36" s="16">
        <v>18500</v>
      </c>
      <c r="D36" s="16">
        <v>25500</v>
      </c>
      <c r="E36" s="16">
        <v>29600</v>
      </c>
      <c r="F36" s="17">
        <v>48700</v>
      </c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X36" s="18">
        <v>22001</v>
      </c>
      <c r="Y36" s="17"/>
      <c r="Z36" s="17"/>
      <c r="AA36" s="17"/>
      <c r="AB36" s="17"/>
      <c r="AD36" s="18"/>
      <c r="AE36" s="17"/>
      <c r="AF36" s="17"/>
      <c r="AG36" s="17"/>
    </row>
    <row r="37" spans="2:33">
      <c r="B37" s="20">
        <v>20001</v>
      </c>
      <c r="C37" s="16">
        <v>19300</v>
      </c>
      <c r="D37" s="16">
        <v>26600</v>
      </c>
      <c r="E37" s="16">
        <v>30900</v>
      </c>
      <c r="F37" s="17">
        <v>50800</v>
      </c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X37" s="18">
        <v>23001</v>
      </c>
      <c r="Y37" s="17"/>
      <c r="Z37" s="17"/>
      <c r="AA37" s="17"/>
      <c r="AB37" s="17"/>
      <c r="AD37" s="18"/>
      <c r="AE37" s="17"/>
      <c r="AF37" s="17"/>
      <c r="AG37" s="17"/>
    </row>
    <row r="38" spans="2:33">
      <c r="B38" s="20">
        <v>21001</v>
      </c>
      <c r="C38" s="16">
        <v>20100</v>
      </c>
      <c r="D38" s="16">
        <v>27700</v>
      </c>
      <c r="E38" s="16">
        <v>32200</v>
      </c>
      <c r="F38" s="17">
        <v>52900</v>
      </c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X38" s="18">
        <v>24001</v>
      </c>
      <c r="Y38" s="17"/>
      <c r="Z38" s="17"/>
      <c r="AA38" s="17"/>
      <c r="AB38" s="17"/>
      <c r="AD38" s="18"/>
      <c r="AE38" s="17"/>
      <c r="AF38" s="17"/>
      <c r="AG38" s="17"/>
    </row>
    <row r="39" spans="2:33">
      <c r="B39" s="18">
        <v>22001</v>
      </c>
      <c r="C39" s="16">
        <v>20900</v>
      </c>
      <c r="D39" s="16">
        <v>28800</v>
      </c>
      <c r="E39" s="16">
        <v>33500</v>
      </c>
      <c r="F39" s="17">
        <v>55000</v>
      </c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X39" s="18">
        <v>25001</v>
      </c>
      <c r="Y39" s="17"/>
      <c r="Z39" s="17"/>
      <c r="AA39" s="17"/>
      <c r="AB39" s="17"/>
      <c r="AD39" s="18"/>
      <c r="AE39" s="17"/>
      <c r="AF39" s="17"/>
      <c r="AG39" s="17"/>
    </row>
    <row r="40" spans="2:33">
      <c r="B40" s="18">
        <v>23001</v>
      </c>
      <c r="C40" s="16">
        <v>21700</v>
      </c>
      <c r="D40" s="16">
        <v>29900</v>
      </c>
      <c r="E40" s="16">
        <v>34800</v>
      </c>
      <c r="F40" s="17">
        <v>57100</v>
      </c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X40" s="18">
        <v>26001</v>
      </c>
      <c r="Y40" s="17"/>
      <c r="Z40" s="17"/>
      <c r="AA40" s="17"/>
      <c r="AB40" s="17"/>
      <c r="AD40" s="18"/>
      <c r="AE40" s="17"/>
      <c r="AF40" s="17"/>
      <c r="AG40" s="17"/>
    </row>
    <row r="41" spans="2:33">
      <c r="B41" s="18">
        <v>24001</v>
      </c>
      <c r="C41" s="16">
        <v>22500</v>
      </c>
      <c r="D41" s="16">
        <v>31000</v>
      </c>
      <c r="E41" s="16">
        <v>36100</v>
      </c>
      <c r="F41" s="17">
        <v>59200</v>
      </c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X41" s="18">
        <v>27001</v>
      </c>
      <c r="Y41" s="17"/>
      <c r="Z41" s="17"/>
      <c r="AA41" s="17"/>
      <c r="AB41" s="17"/>
      <c r="AD41" s="18"/>
      <c r="AE41" s="17"/>
      <c r="AF41" s="17"/>
      <c r="AG41" s="17"/>
    </row>
    <row r="42" spans="2:33">
      <c r="B42" s="18">
        <v>25001</v>
      </c>
      <c r="C42" s="16">
        <v>23300</v>
      </c>
      <c r="D42" s="16">
        <v>32000</v>
      </c>
      <c r="E42" s="16">
        <v>37400</v>
      </c>
      <c r="F42" s="17">
        <v>61300</v>
      </c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X42" s="18">
        <v>28001</v>
      </c>
      <c r="Y42" s="17"/>
      <c r="Z42" s="17"/>
      <c r="AA42" s="17"/>
      <c r="AB42" s="17"/>
      <c r="AD42" s="18"/>
      <c r="AE42" s="17"/>
      <c r="AF42" s="17"/>
      <c r="AG42" s="17"/>
    </row>
    <row r="43" spans="2:33">
      <c r="B43" s="18">
        <v>26001</v>
      </c>
      <c r="C43" s="16">
        <v>24100</v>
      </c>
      <c r="D43" s="16">
        <v>33200</v>
      </c>
      <c r="E43" s="16">
        <v>38700</v>
      </c>
      <c r="F43" s="17">
        <v>63400</v>
      </c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X43" s="18">
        <v>29001</v>
      </c>
      <c r="Y43" s="17"/>
      <c r="Z43" s="17"/>
      <c r="AA43" s="17"/>
      <c r="AB43" s="17"/>
      <c r="AD43" s="18"/>
      <c r="AE43" s="17"/>
      <c r="AF43" s="17"/>
      <c r="AG43" s="17"/>
    </row>
    <row r="44" spans="2:33">
      <c r="B44" s="18">
        <v>27001</v>
      </c>
      <c r="C44" s="16">
        <v>24900</v>
      </c>
      <c r="D44" s="16">
        <v>34300</v>
      </c>
      <c r="E44" s="16">
        <v>40000</v>
      </c>
      <c r="F44" s="17">
        <v>65500</v>
      </c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X44" s="18">
        <v>30001</v>
      </c>
      <c r="Y44" s="17"/>
      <c r="Z44" s="17"/>
      <c r="AA44" s="17"/>
      <c r="AB44" s="17"/>
      <c r="AD44" s="18"/>
      <c r="AE44" s="17"/>
      <c r="AF44" s="17"/>
      <c r="AG44" s="17"/>
    </row>
    <row r="45" spans="2:33">
      <c r="B45" s="18">
        <v>28001</v>
      </c>
      <c r="C45" s="16">
        <v>25700</v>
      </c>
      <c r="D45" s="16">
        <v>35400</v>
      </c>
      <c r="E45" s="16">
        <v>41300</v>
      </c>
      <c r="F45" s="17">
        <v>67600</v>
      </c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</row>
    <row r="46" spans="2:33">
      <c r="B46" s="18">
        <v>29001</v>
      </c>
      <c r="C46" s="16">
        <v>26500</v>
      </c>
      <c r="D46" s="16">
        <v>36500</v>
      </c>
      <c r="E46" s="16">
        <v>42600</v>
      </c>
      <c r="F46" s="17">
        <v>69700</v>
      </c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</row>
    <row r="47" spans="2:33">
      <c r="B47" s="18">
        <v>30001</v>
      </c>
      <c r="C47" s="6"/>
      <c r="D47" s="6"/>
      <c r="E47" s="6"/>
      <c r="F47" s="17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</row>
    <row r="48" spans="2:33">
      <c r="B48" s="8"/>
      <c r="C48" s="8"/>
      <c r="D48" s="8"/>
      <c r="E48" s="8"/>
      <c r="F48" s="8"/>
      <c r="G48" s="8"/>
      <c r="H48" s="8"/>
      <c r="I48" s="8"/>
      <c r="J48" s="8"/>
      <c r="K48" s="8"/>
      <c r="L48" s="8"/>
      <c r="M48" s="8"/>
      <c r="N48" s="8"/>
      <c r="O48" s="8"/>
      <c r="P48" s="8"/>
      <c r="Q48" s="8"/>
      <c r="R48" s="8"/>
    </row>
    <row r="49" spans="2:18">
      <c r="B49" s="8"/>
      <c r="C49" s="8"/>
      <c r="D49" s="8"/>
      <c r="E49" s="8"/>
      <c r="F49" s="8"/>
      <c r="G49" s="8"/>
      <c r="H49" s="8"/>
      <c r="I49" s="8"/>
      <c r="J49" s="8"/>
      <c r="K49" s="8"/>
      <c r="L49" s="8"/>
      <c r="M49" s="8"/>
      <c r="N49" s="8"/>
      <c r="O49" s="8"/>
      <c r="P49" s="8"/>
      <c r="Q49" s="8"/>
      <c r="R49" s="8"/>
    </row>
    <row r="50" spans="2:18">
      <c r="B50" s="8"/>
      <c r="C50" s="8"/>
      <c r="D50" s="8"/>
      <c r="E50" s="8"/>
      <c r="F50" s="8"/>
      <c r="G50" s="8"/>
      <c r="H50" s="8"/>
      <c r="I50" s="8"/>
      <c r="J50" s="8"/>
      <c r="K50" s="8"/>
      <c r="L50" s="8"/>
      <c r="M50" s="8"/>
      <c r="N50" s="8"/>
      <c r="O50" s="8"/>
      <c r="P50" s="8"/>
      <c r="Q50" s="8"/>
      <c r="R50" s="8"/>
    </row>
    <row r="51" spans="2:18">
      <c r="B51" s="8"/>
      <c r="C51" s="8"/>
      <c r="D51" s="8"/>
      <c r="E51" s="8"/>
      <c r="F51" s="8"/>
      <c r="G51" s="8"/>
      <c r="H51" s="8"/>
      <c r="I51" s="8"/>
      <c r="J51" s="8"/>
      <c r="K51" s="8"/>
      <c r="L51" s="8"/>
      <c r="M51" s="8"/>
      <c r="N51" s="8"/>
      <c r="O51" s="8"/>
      <c r="P51" s="8"/>
      <c r="Q51" s="8"/>
      <c r="R51" s="8"/>
    </row>
  </sheetData>
  <phoneticPr fontId="16"/>
  <pageMargins left="0.7" right="0.7" top="0.75" bottom="0.75" header="0.3" footer="0.3"/>
  <pageSetup paperSize="9" orientation="portrait" horizontalDpi="4294967293" verticalDpi="0" r:id="rId1"/>
  <tableParts count="8">
    <tablePart r:id="rId2"/>
    <tablePart r:id="rId3"/>
    <tablePart r:id="rId4"/>
    <tablePart r:id="rId5"/>
    <tablePart r:id="rId6"/>
    <tablePart r:id="rId7"/>
    <tablePart r:id="rId8"/>
    <tablePart r:id="rId9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C45031F-755C-4D98-A8E9-C2639781210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1</vt:i4>
      </vt:variant>
    </vt:vector>
  </HeadingPairs>
  <TitlesOfParts>
    <vt:vector size="5" baseType="lpstr">
      <vt:lpstr>利益計算表(新)</vt:lpstr>
      <vt:lpstr>リストシート</vt:lpstr>
      <vt:lpstr>カテゴリー手数料一覧</vt:lpstr>
      <vt:lpstr>手数料</vt:lpstr>
      <vt:lpstr>'利益計算表(新)'!kabuka?code_0950_1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2017-12-19T07:49:18Z</dcterms:created>
  <dcterms:modified xsi:type="dcterms:W3CDTF">2019-07-08T02:39:41Z</dcterms:modified>
</cp:coreProperties>
</file>